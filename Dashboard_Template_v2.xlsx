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" sheetId="2" state="visible" r:id="rId4"/>
    <sheet name="Raw SmartLead Replies" sheetId="3" state="visible" r:id="rId5"/>
    <sheet name="Raw SmartLead Stats" sheetId="4" state="visible" r:id="rId6"/>
    <sheet name="Raw SmartLead Sequences" sheetId="5" state="visible" r:id="rId7"/>
    <sheet name="Raw GHL Data" sheetId="6" state="visible" r:id="rId8"/>
    <sheet name="Campaign Overview" sheetId="7" state="visible" r:id="rId9"/>
    <sheet name="Time Range View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<sst xmlns="http://schemas.openxmlformats.org/spreadsheetml/2006/main" count="177" uniqueCount="94">
  <si>
    <t xml:space="preserve">Rainmaker Remodel — Cold Email Analytics</t>
  </si>
  <si>
    <t xml:space="preserve">How this sheet works</t>
  </si>
  <si>
    <t xml:space="preserve">READ-ONLY SYSTEM</t>
  </si>
  <si>
    <t xml:space="preserve">This sheet pulls data from SmartLead and GHL via GET requests only. No data in SmartLead or GHL is ever modified.</t>
  </si>
  <si>
    <t xml:space="preserve">Tab 1 — Config</t>
  </si>
  <si>
    <t xml:space="preserve">Stores the last sync timestamp and sync status. Your custom sync script reads/writes to this tab.</t>
  </si>
  <si>
    <t xml:space="preserve">Tab 2 — Raw SmartLead Replies</t>
  </si>
  <si>
    <t xml:space="preserve">One row per replied lead. Contains the actual reply text, SL category (Interested/Uninterested/etc), and sequence step.</t>
  </si>
  <si>
    <t xml:space="preserve">Tab 3 — Raw SmartLead Stats</t>
  </si>
  <si>
    <t xml:space="preserve">Aggregate totals per campaign (sent, opened, replied, bounced). Used for calculating reply rates.</t>
  </si>
  <si>
    <t xml:space="preserve">Tab 4 — Raw SmartLead Sequences</t>
  </si>
  <si>
    <t xml:space="preserve">The actual copy (subject lines, body, CTAs) for every email step in every campaign.</t>
  </si>
  <si>
    <t xml:space="preserve">Tab 5 — Raw GHL Data</t>
  </si>
  <si>
    <t xml:space="preserve">One row per contact. Contains stage-entry timestamps for each GHL pipeline stage.</t>
  </si>
  <si>
    <t xml:space="preserve">Tab 6 — Campaign Overview</t>
  </si>
  <si>
    <t xml:space="preserve">Auto-calculated aggregate metrics per campaign (ALL TIME). Every cell is a formula.</t>
  </si>
  <si>
    <t xml:space="preserve">Tab 7 — Time Range Views</t>
  </si>
  <si>
    <t xml:space="preserve">Same metrics as Overview but filtered by Past 7 Days, Past 30 Days, Past 90 Days, All Time.</t>
  </si>
  <si>
    <t xml:space="preserve">GHL Pipeline Stages</t>
  </si>
  <si>
    <t xml:space="preserve">Inbound Reply Engaged → Awaiting Response → Day 1 Follow-Up → Day 2 Follow-Up → Call Proposed → Call Booked</t>
  </si>
  <si>
    <t xml:space="preserve">SmartLead Reply Categories</t>
  </si>
  <si>
    <t xml:space="preserve">Interested, Uninterested, Wrong Person, Out of Office, Do Not Contact</t>
  </si>
  <si>
    <t xml:space="preserve">Adding new analysis later</t>
  </si>
  <si>
    <t xml:space="preserve">You can add new tabs or columns anytime without disrupting existing data. The raw data tabs just get appended to.</t>
  </si>
  <si>
    <t xml:space="preserve">Import to Google Sheets</t>
  </si>
  <si>
    <t xml:space="preserve">Upload this .xlsx to Google Drive → Right-click → Open with Google Sheets → File → Save as Google Sheets.</t>
  </si>
  <si>
    <t xml:space="preserve">Field</t>
  </si>
  <si>
    <t xml:space="preserve">Value</t>
  </si>
  <si>
    <t xml:space="preserve">Client Name</t>
  </si>
  <si>
    <t xml:space="preserve">Rainmaker Remodel</t>
  </si>
  <si>
    <t xml:space="preserve">last_synced_at</t>
  </si>
  <si>
    <t xml:space="preserve">(will be updated by sync script)</t>
  </si>
  <si>
    <t xml:space="preserve">smartlead_last_sync</t>
  </si>
  <si>
    <t xml:space="preserve">ghl_last_sync</t>
  </si>
  <si>
    <t xml:space="preserve">sync_status</t>
  </si>
  <si>
    <t xml:space="preserve">Pending initial sync</t>
  </si>
  <si>
    <t xml:space="preserve">next_scheduled_sync</t>
  </si>
  <si>
    <t xml:space="preserve">sync_frequency</t>
  </si>
  <si>
    <t xml:space="preserve">Daily</t>
  </si>
  <si>
    <t xml:space="preserve">timezone</t>
  </si>
  <si>
    <t xml:space="preserve">America/New_York</t>
  </si>
  <si>
    <t xml:space="preserve">Campaign ID</t>
  </si>
  <si>
    <t xml:space="preserve">Campaign Name</t>
  </si>
  <si>
    <t xml:space="preserve">Lead Email</t>
  </si>
  <si>
    <t xml:space="preserve">Lead Name</t>
  </si>
  <si>
    <t xml:space="preserve">Reply Text</t>
  </si>
  <si>
    <t xml:space="preserve">Reply Date</t>
  </si>
  <si>
    <t xml:space="preserve">SL Category</t>
  </si>
  <si>
    <t xml:space="preserve">Sequence Step</t>
  </si>
  <si>
    <t xml:space="preserve">Sync Date</t>
  </si>
  <si>
    <t xml:space="preserve">60 Day Ads - Bathroom Renovations (USA)</t>
  </si>
  <si>
    <t xml:space="preserve">john@example.com</t>
  </si>
  <si>
    <t xml:space="preserve">John Smith</t>
  </si>
  <si>
    <t xml:space="preserve">Yeah interested, send more info</t>
  </si>
  <si>
    <t xml:space="preserve">2026-04-10</t>
  </si>
  <si>
    <t xml:space="preserve">Interested</t>
  </si>
  <si>
    <t xml:space="preserve">(sample row above — delete once real data syncs in)</t>
  </si>
  <si>
    <t xml:space="preserve">Total Sent</t>
  </si>
  <si>
    <t xml:space="preserve">Total Replied</t>
  </si>
  <si>
    <t xml:space="preserve">Reply Rate</t>
  </si>
  <si>
    <t xml:space="preserve">Positive Reply Rate</t>
  </si>
  <si>
    <t xml:space="preserve">Total Bounced</t>
  </si>
  <si>
    <t xml:space="preserve">Start Date</t>
  </si>
  <si>
    <t xml:space="preserve">60 Day Ads - General Construction USA (Tulsa, Tampa, Cincinnati)</t>
  </si>
  <si>
    <t xml:space="preserve">60 Day Ads - Kitchen Renovators (USA)</t>
  </si>
  <si>
    <t xml:space="preserve">60 Day Ads Offer - USA (LA, Detroit, Colorado Springs) - copy</t>
  </si>
  <si>
    <t xml:space="preserve">Huge USA Lead List - 60 Day Ads Offer (Xander)</t>
  </si>
  <si>
    <t xml:space="preserve">Step Number</t>
  </si>
  <si>
    <t xml:space="preserve">Subject Line</t>
  </si>
  <si>
    <t xml:space="preserve">Body Copy</t>
  </si>
  <si>
    <t xml:space="preserve">Delay Days</t>
  </si>
  <si>
    <t xml:space="preserve">Contact Name</t>
  </si>
  <si>
    <t xml:space="preserve">Email</t>
  </si>
  <si>
    <t xml:space="preserve">Entered Call Proposed At</t>
  </si>
  <si>
    <t xml:space="preserve">Entered Day 1 Follow-Up At</t>
  </si>
  <si>
    <t xml:space="preserve">Entered Day 2 Follow-Up At</t>
  </si>
  <si>
    <t xml:space="preserve">Entered Call Booked At</t>
  </si>
  <si>
    <t xml:space="preserve">Current Stage</t>
  </si>
  <si>
    <t xml:space="preserve">Campaign Overview — All Time</t>
  </si>
  <si>
    <t xml:space="preserve">Call Proposed</t>
  </si>
  <si>
    <t xml:space="preserve">Day 1 Follow-Up</t>
  </si>
  <si>
    <t xml:space="preserve">Day 2 Follow-Up</t>
  </si>
  <si>
    <t xml:space="preserve">Calls Booked</t>
  </si>
  <si>
    <t xml:space="preserve">Book Rate</t>
  </si>
  <si>
    <t xml:space="preserve">Time Range Views — Auto-filtered to only show campaigns with activity</t>
  </si>
  <si>
    <t xml:space="preserve">Each section uses Google Sheets' FILTER() function to automatically hide campaigns with zero replies in that period.</t>
  </si>
  <si>
    <t xml:space="preserve">← Calculation blocks (don't edit)</t>
  </si>
  <si>
    <t xml:space="preserve">Past 7 Days</t>
  </si>
  <si>
    <t xml:space="preserve">Time Range</t>
  </si>
  <si>
    <t xml:space="preserve">Positive Replies</t>
  </si>
  <si>
    <t xml:space="preserve">Call Booked</t>
  </si>
  <si>
    <t xml:space="preserve">Past 30 Days</t>
  </si>
  <si>
    <t xml:space="preserve">Past 90 Days</t>
  </si>
  <si>
    <t xml:space="preserve">All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</si>
</sst>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4F72"/>
      <name val="Arial"/>
      <family val="0"/>
      <charset val="1"/>
    </font>
    <font>
      <b val="true"/>
      <sz val="13"/>
      <color rgb="FF2E86C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6"/>
      <color rgb="FF1B4F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5A5A6"/>
      <name val="Arial"/>
      <family val="0"/>
      <charset val="1"/>
    </font>
    <font>
      <i val="true"/>
      <sz val="9"/>
      <color rgb="FFE74C3C"/>
      <name val="Arial"/>
      <family val="0"/>
      <charset val="1"/>
    </font>
    <font>
      <b val="true"/>
      <sz val="14"/>
      <color rgb="FF1B4F72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2"/>
      <color rgb="FF1B4F72"/>
      <name val="Arial"/>
      <family val="0"/>
      <charset val="1"/>
    </font>
    <font>
      <i val="true"/>
      <sz val="9"/>
      <color rgb="FF7F8C8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6EAF8"/>
        <bgColor rgb="FFEAEDED"/>
      </patternFill>
    </fill>
    <fill>
      <patternFill patternType="solid">
        <fgColor rgb="FF2E86C1"/>
        <bgColor rgb="FF008080"/>
      </patternFill>
    </fill>
    <fill>
      <patternFill patternType="solid">
        <fgColor rgb="FFEAEDED"/>
        <bgColor rgb="FFD6E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EAEDED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E74C3C"/>
      <rgbColor rgb="FF666699"/>
      <rgbColor rgb="FF95A5A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  <col collapsed="false" customWidth="true" hidden="false" outlineLevel="0" max="26" min="3" style="0" width="8.71"/>
  </cols>
  <sheetData>
    <row r="1" customFormat="false" ht="31.5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/>
    </row>
    <row r="3" customFormat="false" ht="31.5" hidden="false" customHeight="true" outlineLevel="0" collapsed="false">
      <c r="A3" s="3" t="s">
        <v>2</v>
      </c>
      <c r="B3" s="4" t="s">
        <v>3</v>
      </c>
    </row>
    <row r="4" customFormat="false" ht="31.5" hidden="false" customHeight="true" outlineLevel="0" collapsed="false">
      <c r="A4" s="3"/>
      <c r="B4" s="4"/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31.5" hidden="false" customHeight="true" outlineLevel="0" collapsed="false">
      <c r="A6" s="3" t="s">
        <v>6</v>
      </c>
      <c r="B6" s="4" t="s">
        <v>7</v>
      </c>
    </row>
    <row r="7" customFormat="false" ht="31.5" hidden="false" customHeight="true" outlineLevel="0" collapsed="false">
      <c r="A7" s="3" t="s">
        <v>8</v>
      </c>
      <c r="B7" s="4" t="s">
        <v>9</v>
      </c>
    </row>
    <row r="8" customFormat="false" ht="31.5" hidden="false" customHeight="true" outlineLevel="0" collapsed="false">
      <c r="A8" s="3" t="s">
        <v>10</v>
      </c>
      <c r="B8" s="4" t="s">
        <v>11</v>
      </c>
    </row>
    <row r="9" customFormat="false" ht="31.5" hidden="false" customHeight="true" outlineLevel="0" collapsed="false">
      <c r="A9" s="3" t="s">
        <v>12</v>
      </c>
      <c r="B9" s="4" t="s">
        <v>13</v>
      </c>
    </row>
    <row r="10" customFormat="false" ht="31.5" hidden="false" customHeight="true" outlineLevel="0" collapsed="false">
      <c r="A10" s="3" t="s">
        <v>14</v>
      </c>
      <c r="B10" s="4" t="s">
        <v>15</v>
      </c>
    </row>
    <row r="11" customFormat="false" ht="31.5" hidden="false" customHeight="true" outlineLevel="0" collapsed="false">
      <c r="A11" s="3" t="s">
        <v>16</v>
      </c>
      <c r="B11" s="4" t="s">
        <v>17</v>
      </c>
    </row>
    <row r="12" customFormat="false" ht="31.5" hidden="false" customHeight="true" outlineLevel="0" collapsed="false">
      <c r="A12" s="3"/>
      <c r="B12" s="4"/>
    </row>
    <row r="13" customFormat="false" ht="31.5" hidden="false" customHeight="true" outlineLevel="0" collapsed="false">
      <c r="A13" s="3" t="s">
        <v>18</v>
      </c>
      <c r="B13" s="4" t="s">
        <v>19</v>
      </c>
    </row>
    <row r="14" customFormat="false" ht="31.5" hidden="false" customHeight="true" outlineLevel="0" collapsed="false">
      <c r="A14" s="3"/>
      <c r="B14" s="4"/>
    </row>
    <row r="15" customFormat="false" ht="31.5" hidden="false" customHeight="true" outlineLevel="0" collapsed="false">
      <c r="A15" s="3" t="s">
        <v>20</v>
      </c>
      <c r="B15" s="4" t="s">
        <v>21</v>
      </c>
    </row>
    <row r="16" customFormat="false" ht="31.5" hidden="false" customHeight="true" outlineLevel="0" collapsed="false">
      <c r="A16" s="3"/>
      <c r="B16" s="4"/>
    </row>
    <row r="17" customFormat="false" ht="31.5" hidden="false" customHeight="true" outlineLevel="0" collapsed="false">
      <c r="A17" s="3" t="s">
        <v>22</v>
      </c>
      <c r="B17" s="4" t="s">
        <v>23</v>
      </c>
    </row>
    <row r="18" customFormat="false" ht="31.5" hidden="false" customHeight="true" outlineLevel="0" collapsed="false">
      <c r="A18" s="3"/>
      <c r="B18" s="4"/>
    </row>
    <row r="19" customFormat="false" ht="31.5" hidden="false" customHeight="true" outlineLevel="0" collapsed="false">
      <c r="A19" s="3" t="s">
        <v>24</v>
      </c>
      <c r="B19" s="4" t="s">
        <v>25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26" min="3" style="0" width="8.71"/>
  </cols>
  <sheetData>
    <row r="1" customFormat="false" ht="30" hidden="false" customHeight="true" outlineLevel="0" collapsed="false">
      <c r="A1" s="5" t="s">
        <v>0</v>
      </c>
      <c r="B1" s="5"/>
    </row>
    <row r="3" customFormat="false" ht="31.5" hidden="false" customHeight="true" outlineLevel="0" collapsed="false">
      <c r="A3" s="6" t="s">
        <v>26</v>
      </c>
      <c r="B3" s="6" t="s">
        <v>27</v>
      </c>
    </row>
    <row r="4" customFormat="false" ht="15" hidden="false" customHeight="false" outlineLevel="0" collapsed="false">
      <c r="A4" s="7" t="s">
        <v>28</v>
      </c>
      <c r="B4" s="8" t="s">
        <v>29</v>
      </c>
    </row>
    <row r="5" customFormat="false" ht="15" hidden="false" customHeight="false" outlineLevel="0" collapsed="false">
      <c r="A5" s="7" t="s">
        <v>30</v>
      </c>
      <c r="B5" s="8" t="s">
        <v>31</v>
      </c>
    </row>
    <row r="6" customFormat="false" ht="15" hidden="false" customHeight="false" outlineLevel="0" collapsed="false">
      <c r="A6" s="7" t="s">
        <v>32</v>
      </c>
      <c r="B6" s="8" t="s">
        <v>31</v>
      </c>
    </row>
    <row r="7" customFormat="false" ht="15" hidden="false" customHeight="false" outlineLevel="0" collapsed="false">
      <c r="A7" s="7" t="s">
        <v>33</v>
      </c>
      <c r="B7" s="8" t="s">
        <v>31</v>
      </c>
    </row>
    <row r="8" customFormat="false" ht="15" hidden="false" customHeight="false" outlineLevel="0" collapsed="false">
      <c r="A8" s="7" t="s">
        <v>34</v>
      </c>
      <c r="B8" s="8" t="s">
        <v>35</v>
      </c>
    </row>
    <row r="9" customFormat="false" ht="15" hidden="false" customHeight="false" outlineLevel="0" collapsed="false">
      <c r="A9" s="7" t="s">
        <v>36</v>
      </c>
      <c r="B9" s="8" t="s">
        <v>31</v>
      </c>
    </row>
    <row r="10" customFormat="false" ht="15" hidden="false" customHeight="false" outlineLevel="0" collapsed="false">
      <c r="A10" s="7" t="s">
        <v>37</v>
      </c>
      <c r="B10" s="8" t="s">
        <v>38</v>
      </c>
    </row>
    <row r="11" customFormat="false" ht="15" hidden="false" customHeight="false" outlineLevel="0" collapsed="false">
      <c r="A11" s="7" t="s">
        <v>39</v>
      </c>
      <c r="B11" s="8" t="s">
        <v>40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50"/>
    <col collapsed="false" customWidth="true" hidden="false" outlineLevel="0" max="7" min="6" style="0" width="14"/>
    <col collapsed="false" customWidth="true" hidden="false" outlineLevel="0" max="8" min="8" style="0" width="17.71"/>
    <col collapsed="false" customWidth="true" hidden="false" outlineLevel="0" max="9" min="9" style="0" width="14"/>
    <col collapsed="false" customWidth="true" hidden="false" outlineLevel="0" max="23" min="10" style="0" width="8.71"/>
  </cols>
  <sheetData>
    <row r="1" customFormat="false" ht="31.5" hidden="false" customHeight="true" outlineLevel="0" collapsed="false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</row>
    <row r="2" customFormat="false" ht="15" hidden="false" customHeight="false" outlineLevel="0" collapsed="false">
      <c r="A2" s="9" t="n">
        <v>3134980</v>
      </c>
      <c r="B2" s="9" t="s">
        <v>50</v>
      </c>
      <c r="C2" s="9" t="s">
        <v>51</v>
      </c>
      <c r="D2" s="9" t="s">
        <v>52</v>
      </c>
      <c r="E2" s="9" t="s">
        <v>53</v>
      </c>
      <c r="F2" s="9" t="s">
        <v>54</v>
      </c>
      <c r="G2" s="9" t="s">
        <v>55</v>
      </c>
      <c r="H2" s="9" t="n">
        <v>1</v>
      </c>
      <c r="I2" s="9" t="s">
        <v>54</v>
      </c>
    </row>
    <row r="3" customFormat="false" ht="15" hidden="false" customHeight="false" outlineLevel="0" collapsed="false">
      <c r="A3" s="10" t="s">
        <v>56</v>
      </c>
      <c r="B3" s="10"/>
      <c r="C3" s="10"/>
      <c r="D3" s="10"/>
      <c r="E3" s="10"/>
      <c r="F3" s="10"/>
      <c r="G3" s="10"/>
      <c r="H3" s="10"/>
      <c r="I3" s="10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15.57"/>
    <col collapsed="false" customWidth="true" hidden="false" outlineLevel="0" max="5" min="5" style="0" width="14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26" min="10" style="0" width="8.71"/>
  </cols>
  <sheetData>
    <row r="1" customFormat="false" ht="31.5" hidden="false" customHeight="true" outlineLevel="0" collapsed="false">
      <c r="A1" s="6" t="s">
        <v>41</v>
      </c>
      <c r="B1" s="6" t="s">
        <v>42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49</v>
      </c>
    </row>
    <row r="2" customFormat="false" ht="15" hidden="false" customHeight="false" outlineLevel="0" collapsed="false">
      <c r="A2" s="11" t="n">
        <v>3134980</v>
      </c>
      <c r="B2" s="11" t="s">
        <v>50</v>
      </c>
      <c r="C2" s="11" t="n">
        <v>0</v>
      </c>
      <c r="D2" s="11" t="n">
        <v>0</v>
      </c>
      <c r="E2" s="11"/>
      <c r="F2" s="11"/>
      <c r="G2" s="11" t="n">
        <v>0</v>
      </c>
      <c r="H2" s="11"/>
      <c r="I2" s="11"/>
    </row>
    <row r="3" customFormat="false" ht="15" hidden="false" customHeight="false" outlineLevel="0" collapsed="false">
      <c r="A3" s="11" t="n">
        <v>3134858</v>
      </c>
      <c r="B3" s="11" t="s">
        <v>63</v>
      </c>
      <c r="C3" s="11" t="n">
        <v>0</v>
      </c>
      <c r="D3" s="11" t="n">
        <v>0</v>
      </c>
      <c r="E3" s="11"/>
      <c r="F3" s="11"/>
      <c r="G3" s="11" t="n">
        <v>0</v>
      </c>
      <c r="H3" s="11"/>
      <c r="I3" s="11"/>
    </row>
    <row r="4" customFormat="false" ht="15" hidden="false" customHeight="false" outlineLevel="0" collapsed="false">
      <c r="A4" s="11" t="n">
        <v>3072412</v>
      </c>
      <c r="B4" s="11" t="s">
        <v>64</v>
      </c>
      <c r="C4" s="11" t="n">
        <v>0</v>
      </c>
      <c r="D4" s="11" t="n">
        <v>0</v>
      </c>
      <c r="E4" s="11"/>
      <c r="F4" s="11"/>
      <c r="G4" s="11" t="n">
        <v>0</v>
      </c>
      <c r="H4" s="11"/>
      <c r="I4" s="11"/>
    </row>
    <row r="5" customFormat="false" ht="15" hidden="false" customHeight="false" outlineLevel="0" collapsed="false">
      <c r="A5" s="11" t="n">
        <v>3043415</v>
      </c>
      <c r="B5" s="11" t="s">
        <v>65</v>
      </c>
      <c r="C5" s="11" t="n">
        <v>0</v>
      </c>
      <c r="D5" s="11" t="n">
        <v>0</v>
      </c>
      <c r="E5" s="11"/>
      <c r="F5" s="11"/>
      <c r="G5" s="11" t="n">
        <v>0</v>
      </c>
      <c r="H5" s="11"/>
      <c r="I5" s="11"/>
    </row>
    <row r="6" customFormat="false" ht="15" hidden="false" customHeight="false" outlineLevel="0" collapsed="false">
      <c r="A6" s="11" t="n">
        <v>2978732</v>
      </c>
      <c r="B6" s="11" t="s">
        <v>66</v>
      </c>
      <c r="C6" s="11" t="n">
        <v>0</v>
      </c>
      <c r="D6" s="11" t="n">
        <v>0</v>
      </c>
      <c r="E6" s="11"/>
      <c r="F6" s="11"/>
      <c r="G6" s="11" t="n">
        <v>0</v>
      </c>
      <c r="H6" s="11"/>
      <c r="I6" s="1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35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25" min="8" style="0" width="8.71"/>
  </cols>
  <sheetData>
    <row r="1" customFormat="false" ht="31.5" hidden="false" customHeight="true" outlineLevel="0" collapsed="false">
      <c r="A1" s="6" t="s">
        <v>41</v>
      </c>
      <c r="B1" s="6" t="s">
        <v>42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49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9" min="5" style="0" width="22"/>
    <col collapsed="false" customWidth="true" hidden="false" outlineLevel="0" max="10" min="10" style="0" width="14"/>
    <col collapsed="false" customWidth="true" hidden="false" outlineLevel="0" max="23" min="11" style="0" width="8.71"/>
  </cols>
  <sheetData>
    <row r="1" customFormat="false" ht="31.5" hidden="false" customHeight="true" outlineLevel="0" collapsed="false">
      <c r="A1" s="6" t="s">
        <v>71</v>
      </c>
      <c r="B1" s="6" t="s">
        <v>72</v>
      </c>
      <c r="C1" s="6" t="s">
        <v>41</v>
      </c>
      <c r="D1" s="6" t="s">
        <v>42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77</v>
      </c>
      <c r="J1" s="6" t="s">
        <v>49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5" min="3" style="0" width="10"/>
    <col collapsed="false" customWidth="true" hidden="false" outlineLevel="0" max="6" min="6" style="0" width="15.43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20" min="12" style="0" width="8.71"/>
  </cols>
  <sheetData>
    <row r="1" customFormat="false" ht="25.5" hidden="false" customHeight="true" outlineLevel="0" collapsed="false">
      <c r="A1" s="12" t="s">
        <v>78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31.5" hidden="false" customHeight="true" outlineLevel="0" collapsed="false">
      <c r="A2" s="6" t="s">
        <v>41</v>
      </c>
      <c r="B2" s="6" t="s">
        <v>42</v>
      </c>
      <c r="C2" s="6" t="s">
        <v>57</v>
      </c>
      <c r="D2" s="6" t="s">
        <v>58</v>
      </c>
      <c r="E2" s="6" t="s">
        <v>59</v>
      </c>
      <c r="F2" s="6" t="s">
        <v>60</v>
      </c>
      <c r="G2" s="6" t="s">
        <v>79</v>
      </c>
      <c r="H2" s="6" t="s">
        <v>80</v>
      </c>
      <c r="I2" s="6" t="s">
        <v>81</v>
      </c>
      <c r="J2" s="6" t="s">
        <v>82</v>
      </c>
      <c r="K2" s="6" t="s">
        <v>83</v>
      </c>
    </row>
    <row r="3" customFormat="false" ht="15" hidden="false" customHeight="false" outlineLevel="0" collapsed="false">
      <c r="A3" s="13" t="n">
        <v>3134980</v>
      </c>
      <c r="B3" s="8" t="s">
        <v>50</v>
      </c>
      <c r="C3" s="13" t="n">
        <f aca="false">IFERROR(VLOOKUP(A3,'Raw SmartLead Stats'!A:G,3,FALSE()),0)</f>
        <v>0</v>
      </c>
      <c r="D3" s="13" t="n">
        <f aca="false">COUNTIF('Raw SmartLead Replies'!A:A,A3)</f>
        <v>1</v>
      </c>
      <c r="E3" s="14" t="n">
        <f aca="false">IFERROR(D3/C3,0)</f>
        <v>0</v>
      </c>
      <c r="F3" s="14" t="n">
        <f aca="false">IFERROR(COUNTIFS('Raw SmartLead Replies'!A:A,A3,'Raw SmartLead Replies'!G:G,"Interested")/D3,0)</f>
        <v>1</v>
      </c>
      <c r="G3" s="13" t="n">
        <f aca="false">COUNTIFS('Raw GHL Data'!C:C,A3,'Raw GHL Data'!F:F,"&lt;&gt;")</f>
        <v>0</v>
      </c>
      <c r="H3" s="13" t="n">
        <f aca="false">COUNTIFS('Raw GHL Data'!C:C,A3,'Raw GHL Data'!G:G,"&lt;&gt;")</f>
        <v>0</v>
      </c>
      <c r="I3" s="13" t="n">
        <f aca="false">COUNTIFS('Raw GHL Data'!C:C,A3,'Raw GHL Data'!E:E,"&lt;&gt;")</f>
        <v>0</v>
      </c>
      <c r="J3" s="13" t="n">
        <f aca="false">COUNTIFS('Raw GHL Data'!C:C,A3,'Raw GHL Data'!H:H,"&lt;&gt;")</f>
        <v>0</v>
      </c>
      <c r="K3" s="14" t="n">
        <f aca="false">IFERROR(J3/D3,0)</f>
        <v>0</v>
      </c>
    </row>
    <row r="4" customFormat="false" ht="23.85" hidden="false" customHeight="false" outlineLevel="0" collapsed="false">
      <c r="A4" s="13" t="n">
        <v>3134858</v>
      </c>
      <c r="B4" s="8" t="s">
        <v>63</v>
      </c>
      <c r="C4" s="13" t="n">
        <f aca="false">IFERROR(VLOOKUP(A4,'Raw SmartLead Stats'!A:G,3,FALSE()),0)</f>
        <v>0</v>
      </c>
      <c r="D4" s="13" t="n">
        <f aca="false">COUNTIF('Raw SmartLead Replies'!A:A,A4)</f>
        <v>0</v>
      </c>
      <c r="E4" s="14" t="n">
        <f aca="false">IFERROR(D4/C4,0)</f>
        <v>0</v>
      </c>
      <c r="F4" s="14" t="n">
        <f aca="false">IFERROR(COUNTIFS('Raw SmartLead Replies'!A:A,A4,'Raw SmartLead Replies'!G:G,"Interested")/D4,0)</f>
        <v>0</v>
      </c>
      <c r="G4" s="13" t="n">
        <f aca="false">COUNTIFS('Raw GHL Data'!C:C,A4,'Raw GHL Data'!F:F,"&lt;&gt;")</f>
        <v>0</v>
      </c>
      <c r="H4" s="13" t="n">
        <f aca="false">COUNTIFS('Raw GHL Data'!C:C,A4,'Raw GHL Data'!G:G,"&lt;&gt;")</f>
        <v>0</v>
      </c>
      <c r="I4" s="13" t="n">
        <f aca="false">COUNTIFS('Raw GHL Data'!C:C,A4,'Raw GHL Data'!E:E,"&lt;&gt;")</f>
        <v>0</v>
      </c>
      <c r="J4" s="13" t="n">
        <f aca="false">COUNTIFS('Raw GHL Data'!C:C,A4,'Raw GHL Data'!H:H,"&lt;&gt;")</f>
        <v>0</v>
      </c>
      <c r="K4" s="14" t="n">
        <f aca="false">IFERROR(J4/D4,0)</f>
        <v>0</v>
      </c>
    </row>
    <row r="5" customFormat="false" ht="15" hidden="false" customHeight="false" outlineLevel="0" collapsed="false">
      <c r="A5" s="13" t="n">
        <v>3072412</v>
      </c>
      <c r="B5" s="8" t="s">
        <v>64</v>
      </c>
      <c r="C5" s="13" t="n">
        <f aca="false">IFERROR(VLOOKUP(A5,'Raw SmartLead Stats'!A:G,3,FALSE()),0)</f>
        <v>0</v>
      </c>
      <c r="D5" s="13" t="n">
        <f aca="false">COUNTIF('Raw SmartLead Replies'!A:A,A5)</f>
        <v>0</v>
      </c>
      <c r="E5" s="14" t="n">
        <f aca="false">IFERROR(D5/C5,0)</f>
        <v>0</v>
      </c>
      <c r="F5" s="14" t="n">
        <f aca="false">IFERROR(COUNTIFS('Raw SmartLead Replies'!A:A,A5,'Raw SmartLead Replies'!G:G,"Interested")/D5,0)</f>
        <v>0</v>
      </c>
      <c r="G5" s="13" t="n">
        <f aca="false">COUNTIFS('Raw GHL Data'!C:C,A5,'Raw GHL Data'!F:F,"&lt;&gt;")</f>
        <v>0</v>
      </c>
      <c r="H5" s="13" t="n">
        <f aca="false">COUNTIFS('Raw GHL Data'!C:C,A5,'Raw GHL Data'!G:G,"&lt;&gt;")</f>
        <v>0</v>
      </c>
      <c r="I5" s="13" t="n">
        <f aca="false">COUNTIFS('Raw GHL Data'!C:C,A5,'Raw GHL Data'!E:E,"&lt;&gt;")</f>
        <v>0</v>
      </c>
      <c r="J5" s="13" t="n">
        <f aca="false">COUNTIFS('Raw GHL Data'!C:C,A5,'Raw GHL Data'!H:H,"&lt;&gt;")</f>
        <v>0</v>
      </c>
      <c r="K5" s="14" t="n">
        <f aca="false">IFERROR(J5/D5,0)</f>
        <v>0</v>
      </c>
    </row>
    <row r="6" customFormat="false" ht="23.85" hidden="false" customHeight="false" outlineLevel="0" collapsed="false">
      <c r="A6" s="13" t="n">
        <v>3043415</v>
      </c>
      <c r="B6" s="8" t="s">
        <v>65</v>
      </c>
      <c r="C6" s="13" t="n">
        <f aca="false">IFERROR(VLOOKUP(A6,'Raw SmartLead Stats'!A:G,3,FALSE()),0)</f>
        <v>0</v>
      </c>
      <c r="D6" s="13" t="n">
        <f aca="false">COUNTIF('Raw SmartLead Replies'!A:A,A6)</f>
        <v>0</v>
      </c>
      <c r="E6" s="14" t="n">
        <f aca="false">IFERROR(D6/C6,0)</f>
        <v>0</v>
      </c>
      <c r="F6" s="14" t="n">
        <f aca="false">IFERROR(COUNTIFS('Raw SmartLead Replies'!A:A,A6,'Raw SmartLead Replies'!G:G,"Interested")/D6,0)</f>
        <v>0</v>
      </c>
      <c r="G6" s="13" t="n">
        <f aca="false">COUNTIFS('Raw GHL Data'!C:C,A6,'Raw GHL Data'!F:F,"&lt;&gt;")</f>
        <v>0</v>
      </c>
      <c r="H6" s="13" t="n">
        <f aca="false">COUNTIFS('Raw GHL Data'!C:C,A6,'Raw GHL Data'!G:G,"&lt;&gt;")</f>
        <v>0</v>
      </c>
      <c r="I6" s="13" t="n">
        <f aca="false">COUNTIFS('Raw GHL Data'!C:C,A6,'Raw GHL Data'!E:E,"&lt;&gt;")</f>
        <v>0</v>
      </c>
      <c r="J6" s="13" t="n">
        <f aca="false">COUNTIFS('Raw GHL Data'!C:C,A6,'Raw GHL Data'!H:H,"&lt;&gt;")</f>
        <v>0</v>
      </c>
      <c r="K6" s="14" t="n">
        <f aca="false">IFERROR(J6/D6,0)</f>
        <v>0</v>
      </c>
    </row>
    <row r="7" customFormat="false" ht="15" hidden="false" customHeight="false" outlineLevel="0" collapsed="false">
      <c r="A7" s="13" t="n">
        <v>2978732</v>
      </c>
      <c r="B7" s="8" t="s">
        <v>66</v>
      </c>
      <c r="C7" s="13" t="n">
        <f aca="false">IFERROR(VLOOKUP(A7,'Raw SmartLead Stats'!A:G,3,FALSE()),0)</f>
        <v>0</v>
      </c>
      <c r="D7" s="13" t="n">
        <f aca="false">COUNTIF('Raw SmartLead Replies'!A:A,A7)</f>
        <v>0</v>
      </c>
      <c r="E7" s="14" t="n">
        <f aca="false">IFERROR(D7/C7,0)</f>
        <v>0</v>
      </c>
      <c r="F7" s="14" t="n">
        <f aca="false">IFERROR(COUNTIFS('Raw SmartLead Replies'!A:A,A7,'Raw SmartLead Replies'!G:G,"Interested")/D7,0)</f>
        <v>0</v>
      </c>
      <c r="G7" s="13" t="n">
        <f aca="false">COUNTIFS('Raw GHL Data'!C:C,A7,'Raw GHL Data'!F:F,"&lt;&gt;")</f>
        <v>0</v>
      </c>
      <c r="H7" s="13" t="n">
        <f aca="false">COUNTIFS('Raw GHL Data'!C:C,A7,'Raw GHL Data'!G:G,"&lt;&gt;")</f>
        <v>0</v>
      </c>
      <c r="I7" s="13" t="n">
        <f aca="false">COUNTIFS('Raw GHL Data'!C:C,A7,'Raw GHL Data'!E:E,"&lt;&gt;")</f>
        <v>0</v>
      </c>
      <c r="J7" s="13" t="n">
        <f aca="false">COUNTIFS('Raw GHL Data'!C:C,A7,'Raw GHL Data'!H:H,"&lt;&gt;")</f>
        <v>0</v>
      </c>
      <c r="K7" s="14" t="n">
        <f aca="false">IFERROR(J7/D7,0)</f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7" min="11" style="0" width="14"/>
  </cols>
  <sheetData>
    <row r="1" customFormat="false" ht="25.5" hidden="false" customHeight="true" outlineLevel="0" collapsed="false">
      <c r="A1" s="15" t="s">
        <v>84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16" t="s">
        <v>85</v>
      </c>
      <c r="B2" s="16"/>
      <c r="C2" s="16"/>
      <c r="D2" s="16"/>
      <c r="E2" s="16"/>
      <c r="F2" s="16"/>
      <c r="G2" s="16"/>
      <c r="H2" s="16"/>
      <c r="K2" s="17" t="s">
        <v>86</v>
      </c>
      <c r="L2" s="17"/>
      <c r="M2" s="17"/>
      <c r="N2" s="17"/>
      <c r="O2" s="17"/>
      <c r="P2" s="17"/>
      <c r="Q2" s="17"/>
    </row>
    <row r="4" customFormat="false" ht="21.75" hidden="false" customHeight="true" outlineLevel="0" collapsed="false">
      <c r="A4" s="18" t="s">
        <v>87</v>
      </c>
      <c r="B4" s="18"/>
      <c r="C4" s="18"/>
      <c r="D4" s="18"/>
      <c r="E4" s="18"/>
      <c r="F4" s="18"/>
      <c r="G4" s="18"/>
      <c r="H4" s="18"/>
    </row>
    <row r="5" customFormat="false" ht="30" hidden="false" customHeight="true" outlineLevel="0" collapsed="false">
      <c r="A5" s="19" t="s">
        <v>88</v>
      </c>
      <c r="B5" s="19" t="s">
        <v>41</v>
      </c>
      <c r="C5" s="19" t="s">
        <v>42</v>
      </c>
      <c r="D5" s="19" t="s">
        <v>58</v>
      </c>
      <c r="E5" s="19" t="s">
        <v>89</v>
      </c>
      <c r="F5" s="19" t="s">
        <v>79</v>
      </c>
      <c r="G5" s="19" t="s">
        <v>90</v>
      </c>
      <c r="H5" s="19" t="s">
        <v>83</v>
      </c>
    </row>
    <row r="6" customFormat="false" ht="15" hidden="false" customHeight="false" outlineLevel="0" collapsed="false">
      <c r="A6" s="0" t="str">
        <f aca="false">IFERROR(arrayformula(IF(LEN(B6:B255),"Past 7 Days","")),"")</f>
        <v/>
      </c>
      <c r="B6" s="0" t="e">
        <f aca="false">IFERROR(filter({K7:K256,L7:L256,M7:M256,N7:N256,O7:O256,P7:P256,Q7:Q256},M7:M256&gt;0,K7:K256&lt;&gt;""),"(no campaigns with activity in this period)")</f>
        <v>#N/A</v>
      </c>
      <c r="K6" s="20" t="s">
        <v>41</v>
      </c>
      <c r="L6" s="20" t="s">
        <v>42</v>
      </c>
      <c r="M6" s="20" t="s">
        <v>58</v>
      </c>
      <c r="N6" s="20" t="s">
        <v>89</v>
      </c>
      <c r="O6" s="20" t="s">
        <v>79</v>
      </c>
      <c r="P6" s="20" t="s">
        <v>90</v>
      </c>
      <c r="Q6" s="20" t="s">
        <v>83</v>
      </c>
    </row>
    <row r="7" customFormat="false" ht="15" hidden="false" customHeight="false" outlineLevel="0" collapsed="false">
      <c r="K7" s="0" t="n">
        <f aca="false">IF('Campaign Overview'!A3="","",'Campaign Overview'!A3)</f>
        <v>3134980</v>
      </c>
      <c r="L7" s="0" t="str">
        <f aca="false">IF('Campaign Overview'!A3="","",'Campaign Overview'!B3)</f>
        <v>60 Day Ads - Bathroom Renovations (USA)</v>
      </c>
      <c r="M7" s="0" t="n">
        <f aca="true">IF('Campaign Overview'!A3="","",COUNTIFS('Raw SmartLead Replies'!A:A,'Campaign Overview'!A3,'Raw SmartLead Replies'!F:F,"&gt;="&amp;TODAY()-7))</f>
        <v>0</v>
      </c>
      <c r="N7" s="0" t="n">
        <f aca="true">IF('Campaign Overview'!A3="","",COUNTIFS('Raw SmartLead Replies'!A:A,'Campaign Overview'!A3,'Raw SmartLead Replies'!G:G,"Interested",'Raw SmartLead Replies'!F:F,"&gt;="&amp;TODAY()-7))</f>
        <v>0</v>
      </c>
      <c r="O7" s="0" t="n">
        <f aca="true">IF('Campaign Overview'!A3="","",COUNTIFS('Raw GHL Data'!C:C,'Campaign Overview'!A3,'Raw GHL Data'!E:E,"&gt;="&amp;TODAY()-7))</f>
        <v>0</v>
      </c>
      <c r="P7" s="0" t="n">
        <f aca="true">IF('Campaign Overview'!A3="","",COUNTIFS('Raw GHL Data'!C:C,'Campaign Overview'!A3,'Raw GHL Data'!H:H,"&gt;="&amp;TODAY()-7))</f>
        <v>0</v>
      </c>
      <c r="Q7" s="21" t="str">
        <f aca="false">IF(OR('Campaign Overview'!A3="",M7=0),"",P7/M7)</f>
        <v/>
      </c>
    </row>
    <row r="8" customFormat="false" ht="15" hidden="false" customHeight="false" outlineLevel="0" collapsed="false">
      <c r="K8" s="0" t="n">
        <f aca="false">IF('Campaign Overview'!A4="","",'Campaign Overview'!A4)</f>
        <v>3134858</v>
      </c>
      <c r="L8" s="0" t="str">
        <f aca="false">IF('Campaign Overview'!A4="","",'Campaign Overview'!B4)</f>
        <v>60 Day Ads - General Construction USA (Tulsa, Tampa, Cincinnati)</v>
      </c>
      <c r="M8" s="0" t="n">
        <f aca="true">IF('Campaign Overview'!A4="","",COUNTIFS('Raw SmartLead Replies'!A:A,'Campaign Overview'!A4,'Raw SmartLead Replies'!F:F,"&gt;="&amp;TODAY()-7))</f>
        <v>0</v>
      </c>
      <c r="N8" s="0" t="n">
        <f aca="true">IF('Campaign Overview'!A4="","",COUNTIFS('Raw SmartLead Replies'!A:A,'Campaign Overview'!A4,'Raw SmartLead Replies'!G:G,"Interested",'Raw SmartLead Replies'!F:F,"&gt;="&amp;TODAY()-7))</f>
        <v>0</v>
      </c>
      <c r="O8" s="0" t="n">
        <f aca="true">IF('Campaign Overview'!A4="","",COUNTIFS('Raw GHL Data'!C:C,'Campaign Overview'!A4,'Raw GHL Data'!E:E,"&gt;="&amp;TODAY()-7))</f>
        <v>0</v>
      </c>
      <c r="P8" s="0" t="n">
        <f aca="true">IF('Campaign Overview'!A4="","",COUNTIFS('Raw GHL Data'!C:C,'Campaign Overview'!A4,'Raw GHL Data'!H:H,"&gt;="&amp;TODAY()-7))</f>
        <v>0</v>
      </c>
      <c r="Q8" s="21" t="str">
        <f aca="false">IF(OR('Campaign Overview'!A4="",M8=0),"",P8/M8)</f>
        <v/>
      </c>
    </row>
    <row r="9" customFormat="false" ht="15" hidden="false" customHeight="false" outlineLevel="0" collapsed="false">
      <c r="K9" s="0" t="n">
        <f aca="false">IF('Campaign Overview'!A5="","",'Campaign Overview'!A5)</f>
        <v>3072412</v>
      </c>
      <c r="L9" s="0" t="str">
        <f aca="false">IF('Campaign Overview'!A5="","",'Campaign Overview'!B5)</f>
        <v>60 Day Ads - Kitchen Renovators (USA)</v>
      </c>
      <c r="M9" s="0" t="n">
        <f aca="true">IF('Campaign Overview'!A5="","",COUNTIFS('Raw SmartLead Replies'!A:A,'Campaign Overview'!A5,'Raw SmartLead Replies'!F:F,"&gt;="&amp;TODAY()-7))</f>
        <v>0</v>
      </c>
      <c r="N9" s="0" t="n">
        <f aca="true">IF('Campaign Overview'!A5="","",COUNTIFS('Raw SmartLead Replies'!A:A,'Campaign Overview'!A5,'Raw SmartLead Replies'!G:G,"Interested",'Raw SmartLead Replies'!F:F,"&gt;="&amp;TODAY()-7))</f>
        <v>0</v>
      </c>
      <c r="O9" s="0" t="n">
        <f aca="true">IF('Campaign Overview'!A5="","",COUNTIFS('Raw GHL Data'!C:C,'Campaign Overview'!A5,'Raw GHL Data'!E:E,"&gt;="&amp;TODAY()-7))</f>
        <v>0</v>
      </c>
      <c r="P9" s="0" t="n">
        <f aca="true">IF('Campaign Overview'!A5="","",COUNTIFS('Raw GHL Data'!C:C,'Campaign Overview'!A5,'Raw GHL Data'!H:H,"&gt;="&amp;TODAY()-7))</f>
        <v>0</v>
      </c>
      <c r="Q9" s="21" t="str">
        <f aca="false">IF(OR('Campaign Overview'!A5="",M9=0),"",P9/M9)</f>
        <v/>
      </c>
    </row>
    <row r="10" customFormat="false" ht="15" hidden="false" customHeight="false" outlineLevel="0" collapsed="false">
      <c r="K10" s="0" t="n">
        <f aca="false">IF('Campaign Overview'!A6="","",'Campaign Overview'!A6)</f>
        <v>3043415</v>
      </c>
      <c r="L10" s="0" t="str">
        <f aca="false">IF('Campaign Overview'!A6="","",'Campaign Overview'!B6)</f>
        <v>60 Day Ads Offer - USA (LA, Detroit, Colorado Springs) - copy</v>
      </c>
      <c r="M10" s="0" t="n">
        <f aca="true">IF('Campaign Overview'!A6="","",COUNTIFS('Raw SmartLead Replies'!A:A,'Campaign Overview'!A6,'Raw SmartLead Replies'!F:F,"&gt;="&amp;TODAY()-7))</f>
        <v>0</v>
      </c>
      <c r="N10" s="0" t="n">
        <f aca="true">IF('Campaign Overview'!A6="","",COUNTIFS('Raw SmartLead Replies'!A:A,'Campaign Overview'!A6,'Raw SmartLead Replies'!G:G,"Interested",'Raw SmartLead Replies'!F:F,"&gt;="&amp;TODAY()-7))</f>
        <v>0</v>
      </c>
      <c r="O10" s="0" t="n">
        <f aca="true">IF('Campaign Overview'!A6="","",COUNTIFS('Raw GHL Data'!C:C,'Campaign Overview'!A6,'Raw GHL Data'!E:E,"&gt;="&amp;TODAY()-7))</f>
        <v>0</v>
      </c>
      <c r="P10" s="0" t="n">
        <f aca="true">IF('Campaign Overview'!A6="","",COUNTIFS('Raw GHL Data'!C:C,'Campaign Overview'!A6,'Raw GHL Data'!H:H,"&gt;="&amp;TODAY()-7))</f>
        <v>0</v>
      </c>
      <c r="Q10" s="21" t="str">
        <f aca="false">IF(OR('Campaign Overview'!A6="",M10=0),"",P10/M10)</f>
        <v/>
      </c>
    </row>
    <row r="11" customFormat="false" ht="15" hidden="false" customHeight="false" outlineLevel="0" collapsed="false">
      <c r="K11" s="0" t="n">
        <f aca="false">IF('Campaign Overview'!A7="","",'Campaign Overview'!A7)</f>
        <v>2978732</v>
      </c>
      <c r="L11" s="0" t="str">
        <f aca="false">IF('Campaign Overview'!A7="","",'Campaign Overview'!B7)</f>
        <v>Huge USA Lead List - 60 Day Ads Offer (Xander)</v>
      </c>
      <c r="M11" s="0" t="n">
        <f aca="true">IF('Campaign Overview'!A7="","",COUNTIFS('Raw SmartLead Replies'!A:A,'Campaign Overview'!A7,'Raw SmartLead Replies'!F:F,"&gt;="&amp;TODAY()-7))</f>
        <v>0</v>
      </c>
      <c r="N11" s="0" t="n">
        <f aca="true">IF('Campaign Overview'!A7="","",COUNTIFS('Raw SmartLead Replies'!A:A,'Campaign Overview'!A7,'Raw SmartLead Replies'!G:G,"Interested",'Raw SmartLead Replies'!F:F,"&gt;="&amp;TODAY()-7))</f>
        <v>0</v>
      </c>
      <c r="O11" s="0" t="n">
        <f aca="true">IF('Campaign Overview'!A7="","",COUNTIFS('Raw GHL Data'!C:C,'Campaign Overview'!A7,'Raw GHL Data'!E:E,"&gt;="&amp;TODAY()-7))</f>
        <v>0</v>
      </c>
      <c r="P11" s="0" t="n">
        <f aca="true">IF('Campaign Overview'!A7="","",COUNTIFS('Raw GHL Data'!C:C,'Campaign Overview'!A7,'Raw GHL Data'!H:H,"&gt;="&amp;TODAY()-7))</f>
        <v>0</v>
      </c>
      <c r="Q11" s="21" t="str">
        <f aca="false">IF(OR('Campaign Overview'!A7="",M11=0),"",P11/M11)</f>
        <v/>
      </c>
    </row>
    <row r="12" customFormat="false" ht="15" hidden="false" customHeight="false" outlineLevel="0" collapsed="false">
      <c r="K12" s="0" t="str">
        <f aca="false">IF('Campaign Overview'!A8="","",'Campaign Overview'!A8)</f>
        <v/>
      </c>
      <c r="L12" s="0" t="str">
        <f aca="false">IF('Campaign Overview'!A8="","",'Campaign Overview'!B8)</f>
        <v/>
      </c>
      <c r="M12" s="0" t="str">
        <f aca="true">IF('Campaign Overview'!A8="","",COUNTIFS('Raw SmartLead Replies'!A:A,'Campaign Overview'!A8,'Raw SmartLead Replies'!F:F,"&gt;="&amp;TODAY()-7))</f>
        <v/>
      </c>
      <c r="N12" s="0" t="str">
        <f aca="true">IF('Campaign Overview'!A8="","",COUNTIFS('Raw SmartLead Replies'!A:A,'Campaign Overview'!A8,'Raw SmartLead Replies'!G:G,"Interested",'Raw SmartLead Replies'!F:F,"&gt;="&amp;TODAY()-7))</f>
        <v/>
      </c>
      <c r="O12" s="0" t="str">
        <f aca="true">IF('Campaign Overview'!A8="","",COUNTIFS('Raw GHL Data'!C:C,'Campaign Overview'!A8,'Raw GHL Data'!E:E,"&gt;="&amp;TODAY()-7))</f>
        <v/>
      </c>
      <c r="P12" s="0" t="str">
        <f aca="true">IF('Campaign Overview'!A8="","",COUNTIFS('Raw GHL Data'!C:C,'Campaign Overview'!A8,'Raw GHL Data'!H:H,"&gt;="&amp;TODAY()-7))</f>
        <v/>
      </c>
      <c r="Q12" s="21" t="str">
        <f aca="false">IF(OR('Campaign Overview'!A8="",M12=0),"",P12/M12)</f>
        <v/>
      </c>
    </row>
    <row r="13" customFormat="false" ht="15" hidden="false" customHeight="false" outlineLevel="0" collapsed="false">
      <c r="K13" s="0" t="str">
        <f aca="false">IF('Campaign Overview'!A9="","",'Campaign Overview'!A9)</f>
        <v/>
      </c>
      <c r="L13" s="0" t="str">
        <f aca="false">IF('Campaign Overview'!A9="","",'Campaign Overview'!B9)</f>
        <v/>
      </c>
      <c r="M13" s="0" t="str">
        <f aca="true">IF('Campaign Overview'!A9="","",COUNTIFS('Raw SmartLead Replies'!A:A,'Campaign Overview'!A9,'Raw SmartLead Replies'!F:F,"&gt;="&amp;TODAY()-7))</f>
        <v/>
      </c>
      <c r="N13" s="0" t="str">
        <f aca="true">IF('Campaign Overview'!A9="","",COUNTIFS('Raw SmartLead Replies'!A:A,'Campaign Overview'!A9,'Raw SmartLead Replies'!G:G,"Interested",'Raw SmartLead Replies'!F:F,"&gt;="&amp;TODAY()-7))</f>
        <v/>
      </c>
      <c r="O13" s="0" t="str">
        <f aca="true">IF('Campaign Overview'!A9="","",COUNTIFS('Raw GHL Data'!C:C,'Campaign Overview'!A9,'Raw GHL Data'!E:E,"&gt;="&amp;TODAY()-7))</f>
        <v/>
      </c>
      <c r="P13" s="0" t="str">
        <f aca="true">IF('Campaign Overview'!A9="","",COUNTIFS('Raw GHL Data'!C:C,'Campaign Overview'!A9,'Raw GHL Data'!H:H,"&gt;="&amp;TODAY()-7))</f>
        <v/>
      </c>
      <c r="Q13" s="21" t="str">
        <f aca="false">IF(OR('Campaign Overview'!A9="",M13=0),"",P13/M13)</f>
        <v/>
      </c>
    </row>
    <row r="14" customFormat="false" ht="15" hidden="false" customHeight="false" outlineLevel="0" collapsed="false">
      <c r="K14" s="0" t="str">
        <f aca="false">IF('Campaign Overview'!A10="","",'Campaign Overview'!A10)</f>
        <v/>
      </c>
      <c r="L14" s="0" t="str">
        <f aca="false">IF('Campaign Overview'!A10="","",'Campaign Overview'!B10)</f>
        <v/>
      </c>
      <c r="M14" s="0" t="str">
        <f aca="true">IF('Campaign Overview'!A10="","",COUNTIFS('Raw SmartLead Replies'!A:A,'Campaign Overview'!A10,'Raw SmartLead Replies'!F:F,"&gt;="&amp;TODAY()-7))</f>
        <v/>
      </c>
      <c r="N14" s="0" t="str">
        <f aca="true">IF('Campaign Overview'!A10="","",COUNTIFS('Raw SmartLead Replies'!A:A,'Campaign Overview'!A10,'Raw SmartLead Replies'!G:G,"Interested",'Raw SmartLead Replies'!F:F,"&gt;="&amp;TODAY()-7))</f>
        <v/>
      </c>
      <c r="O14" s="0" t="str">
        <f aca="true">IF('Campaign Overview'!A10="","",COUNTIFS('Raw GHL Data'!C:C,'Campaign Overview'!A10,'Raw GHL Data'!E:E,"&gt;="&amp;TODAY()-7))</f>
        <v/>
      </c>
      <c r="P14" s="0" t="str">
        <f aca="true">IF('Campaign Overview'!A10="","",COUNTIFS('Raw GHL Data'!C:C,'Campaign Overview'!A10,'Raw GHL Data'!H:H,"&gt;="&amp;TODAY()-7))</f>
        <v/>
      </c>
      <c r="Q14" s="21" t="str">
        <f aca="false">IF(OR('Campaign Overview'!A10="",M14=0),"",P14/M14)</f>
        <v/>
      </c>
    </row>
    <row r="15" customFormat="false" ht="15" hidden="false" customHeight="false" outlineLevel="0" collapsed="false">
      <c r="K15" s="0" t="str">
        <f aca="false">IF('Campaign Overview'!A11="","",'Campaign Overview'!A11)</f>
        <v/>
      </c>
      <c r="L15" s="0" t="str">
        <f aca="false">IF('Campaign Overview'!A11="","",'Campaign Overview'!B11)</f>
        <v/>
      </c>
      <c r="M15" s="0" t="str">
        <f aca="true">IF('Campaign Overview'!A11="","",COUNTIFS('Raw SmartLead Replies'!A:A,'Campaign Overview'!A11,'Raw SmartLead Replies'!F:F,"&gt;="&amp;TODAY()-7))</f>
        <v/>
      </c>
      <c r="N15" s="0" t="str">
        <f aca="true">IF('Campaign Overview'!A11="","",COUNTIFS('Raw SmartLead Replies'!A:A,'Campaign Overview'!A11,'Raw SmartLead Replies'!G:G,"Interested",'Raw SmartLead Replies'!F:F,"&gt;="&amp;TODAY()-7))</f>
        <v/>
      </c>
      <c r="O15" s="0" t="str">
        <f aca="true">IF('Campaign Overview'!A11="","",COUNTIFS('Raw GHL Data'!C:C,'Campaign Overview'!A11,'Raw GHL Data'!E:E,"&gt;="&amp;TODAY()-7))</f>
        <v/>
      </c>
      <c r="P15" s="0" t="str">
        <f aca="true">IF('Campaign Overview'!A11="","",COUNTIFS('Raw GHL Data'!C:C,'Campaign Overview'!A11,'Raw GHL Data'!H:H,"&gt;="&amp;TODAY()-7))</f>
        <v/>
      </c>
      <c r="Q15" s="21" t="str">
        <f aca="false">IF(OR('Campaign Overview'!A11="",M15=0),"",P15/M15)</f>
        <v/>
      </c>
    </row>
    <row r="16" customFormat="false" ht="15" hidden="false" customHeight="false" outlineLevel="0" collapsed="false">
      <c r="K16" s="0" t="str">
        <f aca="false">IF('Campaign Overview'!A12="","",'Campaign Overview'!A12)</f>
        <v/>
      </c>
      <c r="L16" s="0" t="str">
        <f aca="false">IF('Campaign Overview'!A12="","",'Campaign Overview'!B12)</f>
        <v/>
      </c>
      <c r="M16" s="0" t="str">
        <f aca="true">IF('Campaign Overview'!A12="","",COUNTIFS('Raw SmartLead Replies'!A:A,'Campaign Overview'!A12,'Raw SmartLead Replies'!F:F,"&gt;="&amp;TODAY()-7))</f>
        <v/>
      </c>
      <c r="N16" s="0" t="str">
        <f aca="true">IF('Campaign Overview'!A12="","",COUNTIFS('Raw SmartLead Replies'!A:A,'Campaign Overview'!A12,'Raw SmartLead Replies'!G:G,"Interested",'Raw SmartLead Replies'!F:F,"&gt;="&amp;TODAY()-7))</f>
        <v/>
      </c>
      <c r="O16" s="0" t="str">
        <f aca="true">IF('Campaign Overview'!A12="","",COUNTIFS('Raw GHL Data'!C:C,'Campaign Overview'!A12,'Raw GHL Data'!E:E,"&gt;="&amp;TODAY()-7))</f>
        <v/>
      </c>
      <c r="P16" s="0" t="str">
        <f aca="true">IF('Campaign Overview'!A12="","",COUNTIFS('Raw GHL Data'!C:C,'Campaign Overview'!A12,'Raw GHL Data'!H:H,"&gt;="&amp;TODAY()-7))</f>
        <v/>
      </c>
      <c r="Q16" s="21" t="str">
        <f aca="false">IF(OR('Campaign Overview'!A12="",M16=0),"",P16/M16)</f>
        <v/>
      </c>
    </row>
    <row r="17" customFormat="false" ht="15" hidden="false" customHeight="false" outlineLevel="0" collapsed="false">
      <c r="K17" s="0" t="str">
        <f aca="false">IF('Campaign Overview'!A13="","",'Campaign Overview'!A13)</f>
        <v/>
      </c>
      <c r="L17" s="0" t="str">
        <f aca="false">IF('Campaign Overview'!A13="","",'Campaign Overview'!B13)</f>
        <v/>
      </c>
      <c r="M17" s="0" t="str">
        <f aca="true">IF('Campaign Overview'!A13="","",COUNTIFS('Raw SmartLead Replies'!A:A,'Campaign Overview'!A13,'Raw SmartLead Replies'!F:F,"&gt;="&amp;TODAY()-7))</f>
        <v/>
      </c>
      <c r="N17" s="0" t="str">
        <f aca="true">IF('Campaign Overview'!A13="","",COUNTIFS('Raw SmartLead Replies'!A:A,'Campaign Overview'!A13,'Raw SmartLead Replies'!G:G,"Interested",'Raw SmartLead Replies'!F:F,"&gt;="&amp;TODAY()-7))</f>
        <v/>
      </c>
      <c r="O17" s="0" t="str">
        <f aca="true">IF('Campaign Overview'!A13="","",COUNTIFS('Raw GHL Data'!C:C,'Campaign Overview'!A13,'Raw GHL Data'!E:E,"&gt;="&amp;TODAY()-7))</f>
        <v/>
      </c>
      <c r="P17" s="0" t="str">
        <f aca="true">IF('Campaign Overview'!A13="","",COUNTIFS('Raw GHL Data'!C:C,'Campaign Overview'!A13,'Raw GHL Data'!H:H,"&gt;="&amp;TODAY()-7))</f>
        <v/>
      </c>
      <c r="Q17" s="21" t="str">
        <f aca="false">IF(OR('Campaign Overview'!A13="",M17=0),"",P17/M17)</f>
        <v/>
      </c>
    </row>
    <row r="18" customFormat="false" ht="15" hidden="false" customHeight="false" outlineLevel="0" collapsed="false">
      <c r="K18" s="0" t="str">
        <f aca="false">IF('Campaign Overview'!A14="","",'Campaign Overview'!A14)</f>
        <v/>
      </c>
      <c r="L18" s="0" t="str">
        <f aca="false">IF('Campaign Overview'!A14="","",'Campaign Overview'!B14)</f>
        <v/>
      </c>
      <c r="M18" s="0" t="str">
        <f aca="true">IF('Campaign Overview'!A14="","",COUNTIFS('Raw SmartLead Replies'!A:A,'Campaign Overview'!A14,'Raw SmartLead Replies'!F:F,"&gt;="&amp;TODAY()-7))</f>
        <v/>
      </c>
      <c r="N18" s="0" t="str">
        <f aca="true">IF('Campaign Overview'!A14="","",COUNTIFS('Raw SmartLead Replies'!A:A,'Campaign Overview'!A14,'Raw SmartLead Replies'!G:G,"Interested",'Raw SmartLead Replies'!F:F,"&gt;="&amp;TODAY()-7))</f>
        <v/>
      </c>
      <c r="O18" s="0" t="str">
        <f aca="true">IF('Campaign Overview'!A14="","",COUNTIFS('Raw GHL Data'!C:C,'Campaign Overview'!A14,'Raw GHL Data'!E:E,"&gt;="&amp;TODAY()-7))</f>
        <v/>
      </c>
      <c r="P18" s="0" t="str">
        <f aca="true">IF('Campaign Overview'!A14="","",COUNTIFS('Raw GHL Data'!C:C,'Campaign Overview'!A14,'Raw GHL Data'!H:H,"&gt;="&amp;TODAY()-7))</f>
        <v/>
      </c>
      <c r="Q18" s="21" t="str">
        <f aca="false">IF(OR('Campaign Overview'!A14="",M18=0),"",P18/M18)</f>
        <v/>
      </c>
    </row>
    <row r="19" customFormat="false" ht="15" hidden="false" customHeight="false" outlineLevel="0" collapsed="false">
      <c r="K19" s="0" t="str">
        <f aca="false">IF('Campaign Overview'!A15="","",'Campaign Overview'!A15)</f>
        <v/>
      </c>
      <c r="L19" s="0" t="str">
        <f aca="false">IF('Campaign Overview'!A15="","",'Campaign Overview'!B15)</f>
        <v/>
      </c>
      <c r="M19" s="0" t="str">
        <f aca="true">IF('Campaign Overview'!A15="","",COUNTIFS('Raw SmartLead Replies'!A:A,'Campaign Overview'!A15,'Raw SmartLead Replies'!F:F,"&gt;="&amp;TODAY()-7))</f>
        <v/>
      </c>
      <c r="N19" s="0" t="str">
        <f aca="true">IF('Campaign Overview'!A15="","",COUNTIFS('Raw SmartLead Replies'!A:A,'Campaign Overview'!A15,'Raw SmartLead Replies'!G:G,"Interested",'Raw SmartLead Replies'!F:F,"&gt;="&amp;TODAY()-7))</f>
        <v/>
      </c>
      <c r="O19" s="0" t="str">
        <f aca="true">IF('Campaign Overview'!A15="","",COUNTIFS('Raw GHL Data'!C:C,'Campaign Overview'!A15,'Raw GHL Data'!E:E,"&gt;="&amp;TODAY()-7))</f>
        <v/>
      </c>
      <c r="P19" s="0" t="str">
        <f aca="true">IF('Campaign Overview'!A15="","",COUNTIFS('Raw GHL Data'!C:C,'Campaign Overview'!A15,'Raw GHL Data'!H:H,"&gt;="&amp;TODAY()-7))</f>
        <v/>
      </c>
      <c r="Q19" s="21" t="str">
        <f aca="false">IF(OR('Campaign Overview'!A15="",M19=0),"",P19/M19)</f>
        <v/>
      </c>
    </row>
    <row r="20" customFormat="false" ht="15" hidden="false" customHeight="false" outlineLevel="0" collapsed="false">
      <c r="K20" s="0" t="str">
        <f aca="false">IF('Campaign Overview'!A16="","",'Campaign Overview'!A16)</f>
        <v/>
      </c>
      <c r="L20" s="0" t="str">
        <f aca="false">IF('Campaign Overview'!A16="","",'Campaign Overview'!B16)</f>
        <v/>
      </c>
      <c r="M20" s="0" t="str">
        <f aca="true">IF('Campaign Overview'!A16="","",COUNTIFS('Raw SmartLead Replies'!A:A,'Campaign Overview'!A16,'Raw SmartLead Replies'!F:F,"&gt;="&amp;TODAY()-7))</f>
        <v/>
      </c>
      <c r="N20" s="0" t="str">
        <f aca="true">IF('Campaign Overview'!A16="","",COUNTIFS('Raw SmartLead Replies'!A:A,'Campaign Overview'!A16,'Raw SmartLead Replies'!G:G,"Interested",'Raw SmartLead Replies'!F:F,"&gt;="&amp;TODAY()-7))</f>
        <v/>
      </c>
      <c r="O20" s="0" t="str">
        <f aca="true">IF('Campaign Overview'!A16="","",COUNTIFS('Raw GHL Data'!C:C,'Campaign Overview'!A16,'Raw GHL Data'!E:E,"&gt;="&amp;TODAY()-7))</f>
        <v/>
      </c>
      <c r="P20" s="0" t="str">
        <f aca="true">IF('Campaign Overview'!A16="","",COUNTIFS('Raw GHL Data'!C:C,'Campaign Overview'!A16,'Raw GHL Data'!H:H,"&gt;="&amp;TODAY()-7))</f>
        <v/>
      </c>
      <c r="Q20" s="21" t="str">
        <f aca="false">IF(OR('Campaign Overview'!A16="",M20=0),"",P20/M20)</f>
        <v/>
      </c>
    </row>
    <row r="21" customFormat="false" ht="15" hidden="false" customHeight="false" outlineLevel="0" collapsed="false">
      <c r="K21" s="0" t="str">
        <f aca="false">IF('Campaign Overview'!A17="","",'Campaign Overview'!A17)</f>
        <v/>
      </c>
      <c r="L21" s="0" t="str">
        <f aca="false">IF('Campaign Overview'!A17="","",'Campaign Overview'!B17)</f>
        <v/>
      </c>
      <c r="M21" s="0" t="str">
        <f aca="true">IF('Campaign Overview'!A17="","",COUNTIFS('Raw SmartLead Replies'!A:A,'Campaign Overview'!A17,'Raw SmartLead Replies'!F:F,"&gt;="&amp;TODAY()-7))</f>
        <v/>
      </c>
      <c r="N21" s="0" t="str">
        <f aca="true">IF('Campaign Overview'!A17="","",COUNTIFS('Raw SmartLead Replies'!A:A,'Campaign Overview'!A17,'Raw SmartLead Replies'!G:G,"Interested",'Raw SmartLead Replies'!F:F,"&gt;="&amp;TODAY()-7))</f>
        <v/>
      </c>
      <c r="O21" s="0" t="str">
        <f aca="true">IF('Campaign Overview'!A17="","",COUNTIFS('Raw GHL Data'!C:C,'Campaign Overview'!A17,'Raw GHL Data'!E:E,"&gt;="&amp;TODAY()-7))</f>
        <v/>
      </c>
      <c r="P21" s="0" t="str">
        <f aca="true">IF('Campaign Overview'!A17="","",COUNTIFS('Raw GHL Data'!C:C,'Campaign Overview'!A17,'Raw GHL Data'!H:H,"&gt;="&amp;TODAY()-7))</f>
        <v/>
      </c>
      <c r="Q21" s="21" t="str">
        <f aca="false">IF(OR('Campaign Overview'!A17="",M21=0),"",P21/M21)</f>
        <v/>
      </c>
    </row>
    <row r="22" customFormat="false" ht="15" hidden="false" customHeight="false" outlineLevel="0" collapsed="false">
      <c r="K22" s="0" t="str">
        <f aca="false">IF('Campaign Overview'!A18="","",'Campaign Overview'!A18)</f>
        <v/>
      </c>
      <c r="L22" s="0" t="str">
        <f aca="false">IF('Campaign Overview'!A18="","",'Campaign Overview'!B18)</f>
        <v/>
      </c>
      <c r="M22" s="0" t="str">
        <f aca="true">IF('Campaign Overview'!A18="","",COUNTIFS('Raw SmartLead Replies'!A:A,'Campaign Overview'!A18,'Raw SmartLead Replies'!F:F,"&gt;="&amp;TODAY()-7))</f>
        <v/>
      </c>
      <c r="N22" s="0" t="str">
        <f aca="true">IF('Campaign Overview'!A18="","",COUNTIFS('Raw SmartLead Replies'!A:A,'Campaign Overview'!A18,'Raw SmartLead Replies'!G:G,"Interested",'Raw SmartLead Replies'!F:F,"&gt;="&amp;TODAY()-7))</f>
        <v/>
      </c>
      <c r="O22" s="0" t="str">
        <f aca="true">IF('Campaign Overview'!A18="","",COUNTIFS('Raw GHL Data'!C:C,'Campaign Overview'!A18,'Raw GHL Data'!E:E,"&gt;="&amp;TODAY()-7))</f>
        <v/>
      </c>
      <c r="P22" s="0" t="str">
        <f aca="true">IF('Campaign Overview'!A18="","",COUNTIFS('Raw GHL Data'!C:C,'Campaign Overview'!A18,'Raw GHL Data'!H:H,"&gt;="&amp;TODAY()-7))</f>
        <v/>
      </c>
      <c r="Q22" s="21" t="str">
        <f aca="false">IF(OR('Campaign Overview'!A18="",M22=0),"",P22/M22)</f>
        <v/>
      </c>
    </row>
    <row r="23" customFormat="false" ht="15" hidden="false" customHeight="false" outlineLevel="0" collapsed="false">
      <c r="K23" s="0" t="str">
        <f aca="false">IF('Campaign Overview'!A19="","",'Campaign Overview'!A19)</f>
        <v/>
      </c>
      <c r="L23" s="0" t="str">
        <f aca="false">IF('Campaign Overview'!A19="","",'Campaign Overview'!B19)</f>
        <v/>
      </c>
      <c r="M23" s="0" t="str">
        <f aca="true">IF('Campaign Overview'!A19="","",COUNTIFS('Raw SmartLead Replies'!A:A,'Campaign Overview'!A19,'Raw SmartLead Replies'!F:F,"&gt;="&amp;TODAY()-7))</f>
        <v/>
      </c>
      <c r="N23" s="0" t="str">
        <f aca="true">IF('Campaign Overview'!A19="","",COUNTIFS('Raw SmartLead Replies'!A:A,'Campaign Overview'!A19,'Raw SmartLead Replies'!G:G,"Interested",'Raw SmartLead Replies'!F:F,"&gt;="&amp;TODAY()-7))</f>
        <v/>
      </c>
      <c r="O23" s="0" t="str">
        <f aca="true">IF('Campaign Overview'!A19="","",COUNTIFS('Raw GHL Data'!C:C,'Campaign Overview'!A19,'Raw GHL Data'!E:E,"&gt;="&amp;TODAY()-7))</f>
        <v/>
      </c>
      <c r="P23" s="0" t="str">
        <f aca="true">IF('Campaign Overview'!A19="","",COUNTIFS('Raw GHL Data'!C:C,'Campaign Overview'!A19,'Raw GHL Data'!H:H,"&gt;="&amp;TODAY()-7))</f>
        <v/>
      </c>
      <c r="Q23" s="21" t="str">
        <f aca="false">IF(OR('Campaign Overview'!A19="",M23=0),"",P23/M23)</f>
        <v/>
      </c>
    </row>
    <row r="24" customFormat="false" ht="15" hidden="false" customHeight="false" outlineLevel="0" collapsed="false">
      <c r="K24" s="0" t="str">
        <f aca="false">IF('Campaign Overview'!A20="","",'Campaign Overview'!A20)</f>
        <v/>
      </c>
      <c r="L24" s="0" t="str">
        <f aca="false">IF('Campaign Overview'!A20="","",'Campaign Overview'!B20)</f>
        <v/>
      </c>
      <c r="M24" s="0" t="str">
        <f aca="true">IF('Campaign Overview'!A20="","",COUNTIFS('Raw SmartLead Replies'!A:A,'Campaign Overview'!A20,'Raw SmartLead Replies'!F:F,"&gt;="&amp;TODAY()-7))</f>
        <v/>
      </c>
      <c r="N24" s="0" t="str">
        <f aca="true">IF('Campaign Overview'!A20="","",COUNTIFS('Raw SmartLead Replies'!A:A,'Campaign Overview'!A20,'Raw SmartLead Replies'!G:G,"Interested",'Raw SmartLead Replies'!F:F,"&gt;="&amp;TODAY()-7))</f>
        <v/>
      </c>
      <c r="O24" s="0" t="str">
        <f aca="true">IF('Campaign Overview'!A20="","",COUNTIFS('Raw GHL Data'!C:C,'Campaign Overview'!A20,'Raw GHL Data'!E:E,"&gt;="&amp;TODAY()-7))</f>
        <v/>
      </c>
      <c r="P24" s="0" t="str">
        <f aca="true">IF('Campaign Overview'!A20="","",COUNTIFS('Raw GHL Data'!C:C,'Campaign Overview'!A20,'Raw GHL Data'!H:H,"&gt;="&amp;TODAY()-7))</f>
        <v/>
      </c>
      <c r="Q24" s="21" t="str">
        <f aca="false">IF(OR('Campaign Overview'!A20="",M24=0),"",P24/M24)</f>
        <v/>
      </c>
    </row>
    <row r="25" customFormat="false" ht="15" hidden="false" customHeight="false" outlineLevel="0" collapsed="false">
      <c r="K25" s="0" t="str">
        <f aca="false">IF('Campaign Overview'!A21="","",'Campaign Overview'!A21)</f>
        <v/>
      </c>
      <c r="L25" s="0" t="str">
        <f aca="false">IF('Campaign Overview'!A21="","",'Campaign Overview'!B21)</f>
        <v/>
      </c>
      <c r="M25" s="0" t="str">
        <f aca="true">IF('Campaign Overview'!A21="","",COUNTIFS('Raw SmartLead Replies'!A:A,'Campaign Overview'!A21,'Raw SmartLead Replies'!F:F,"&gt;="&amp;TODAY()-7))</f>
        <v/>
      </c>
      <c r="N25" s="0" t="str">
        <f aca="true">IF('Campaign Overview'!A21="","",COUNTIFS('Raw SmartLead Replies'!A:A,'Campaign Overview'!A21,'Raw SmartLead Replies'!G:G,"Interested",'Raw SmartLead Replies'!F:F,"&gt;="&amp;TODAY()-7))</f>
        <v/>
      </c>
      <c r="O25" s="0" t="str">
        <f aca="true">IF('Campaign Overview'!A21="","",COUNTIFS('Raw GHL Data'!C:C,'Campaign Overview'!A21,'Raw GHL Data'!E:E,"&gt;="&amp;TODAY()-7))</f>
        <v/>
      </c>
      <c r="P25" s="0" t="str">
        <f aca="true">IF('Campaign Overview'!A21="","",COUNTIFS('Raw GHL Data'!C:C,'Campaign Overview'!A21,'Raw GHL Data'!H:H,"&gt;="&amp;TODAY()-7))</f>
        <v/>
      </c>
      <c r="Q25" s="21" t="str">
        <f aca="false">IF(OR('Campaign Overview'!A21="",M25=0),"",P25/M25)</f>
        <v/>
      </c>
    </row>
    <row r="26" customFormat="false" ht="15" hidden="false" customHeight="false" outlineLevel="0" collapsed="false">
      <c r="K26" s="0" t="str">
        <f aca="false">IF('Campaign Overview'!A22="","",'Campaign Overview'!A22)</f>
        <v/>
      </c>
      <c r="L26" s="0" t="str">
        <f aca="false">IF('Campaign Overview'!A22="","",'Campaign Overview'!B22)</f>
        <v/>
      </c>
      <c r="M26" s="0" t="str">
        <f aca="true">IF('Campaign Overview'!A22="","",COUNTIFS('Raw SmartLead Replies'!A:A,'Campaign Overview'!A22,'Raw SmartLead Replies'!F:F,"&gt;="&amp;TODAY()-7))</f>
        <v/>
      </c>
      <c r="N26" s="0" t="str">
        <f aca="true">IF('Campaign Overview'!A22="","",COUNTIFS('Raw SmartLead Replies'!A:A,'Campaign Overview'!A22,'Raw SmartLead Replies'!G:G,"Interested",'Raw SmartLead Replies'!F:F,"&gt;="&amp;TODAY()-7))</f>
        <v/>
      </c>
      <c r="O26" s="0" t="str">
        <f aca="true">IF('Campaign Overview'!A22="","",COUNTIFS('Raw GHL Data'!C:C,'Campaign Overview'!A22,'Raw GHL Data'!E:E,"&gt;="&amp;TODAY()-7))</f>
        <v/>
      </c>
      <c r="P26" s="0" t="str">
        <f aca="true">IF('Campaign Overview'!A22="","",COUNTIFS('Raw GHL Data'!C:C,'Campaign Overview'!A22,'Raw GHL Data'!H:H,"&gt;="&amp;TODAY()-7))</f>
        <v/>
      </c>
      <c r="Q26" s="21" t="str">
        <f aca="false">IF(OR('Campaign Overview'!A22="",M26=0),"",P26/M26)</f>
        <v/>
      </c>
    </row>
    <row r="27" customFormat="false" ht="15" hidden="false" customHeight="false" outlineLevel="0" collapsed="false">
      <c r="K27" s="0" t="str">
        <f aca="false">IF('Campaign Overview'!A23="","",'Campaign Overview'!A23)</f>
        <v/>
      </c>
      <c r="L27" s="0" t="str">
        <f aca="false">IF('Campaign Overview'!A23="","",'Campaign Overview'!B23)</f>
        <v/>
      </c>
      <c r="M27" s="0" t="str">
        <f aca="true">IF('Campaign Overview'!A23="","",COUNTIFS('Raw SmartLead Replies'!A:A,'Campaign Overview'!A23,'Raw SmartLead Replies'!F:F,"&gt;="&amp;TODAY()-7))</f>
        <v/>
      </c>
      <c r="N27" s="0" t="str">
        <f aca="true">IF('Campaign Overview'!A23="","",COUNTIFS('Raw SmartLead Replies'!A:A,'Campaign Overview'!A23,'Raw SmartLead Replies'!G:G,"Interested",'Raw SmartLead Replies'!F:F,"&gt;="&amp;TODAY()-7))</f>
        <v/>
      </c>
      <c r="O27" s="0" t="str">
        <f aca="true">IF('Campaign Overview'!A23="","",COUNTIFS('Raw GHL Data'!C:C,'Campaign Overview'!A23,'Raw GHL Data'!E:E,"&gt;="&amp;TODAY()-7))</f>
        <v/>
      </c>
      <c r="P27" s="0" t="str">
        <f aca="true">IF('Campaign Overview'!A23="","",COUNTIFS('Raw GHL Data'!C:C,'Campaign Overview'!A23,'Raw GHL Data'!H:H,"&gt;="&amp;TODAY()-7))</f>
        <v/>
      </c>
      <c r="Q27" s="21" t="str">
        <f aca="false">IF(OR('Campaign Overview'!A23="",M27=0),"",P27/M27)</f>
        <v/>
      </c>
    </row>
    <row r="28" customFormat="false" ht="15" hidden="false" customHeight="false" outlineLevel="0" collapsed="false">
      <c r="K28" s="0" t="str">
        <f aca="false">IF('Campaign Overview'!A24="","",'Campaign Overview'!A24)</f>
        <v/>
      </c>
      <c r="L28" s="0" t="str">
        <f aca="false">IF('Campaign Overview'!A24="","",'Campaign Overview'!B24)</f>
        <v/>
      </c>
      <c r="M28" s="0" t="str">
        <f aca="true">IF('Campaign Overview'!A24="","",COUNTIFS('Raw SmartLead Replies'!A:A,'Campaign Overview'!A24,'Raw SmartLead Replies'!F:F,"&gt;="&amp;TODAY()-7))</f>
        <v/>
      </c>
      <c r="N28" s="0" t="str">
        <f aca="true">IF('Campaign Overview'!A24="","",COUNTIFS('Raw SmartLead Replies'!A:A,'Campaign Overview'!A24,'Raw SmartLead Replies'!G:G,"Interested",'Raw SmartLead Replies'!F:F,"&gt;="&amp;TODAY()-7))</f>
        <v/>
      </c>
      <c r="O28" s="0" t="str">
        <f aca="true">IF('Campaign Overview'!A24="","",COUNTIFS('Raw GHL Data'!C:C,'Campaign Overview'!A24,'Raw GHL Data'!E:E,"&gt;="&amp;TODAY()-7))</f>
        <v/>
      </c>
      <c r="P28" s="0" t="str">
        <f aca="true">IF('Campaign Overview'!A24="","",COUNTIFS('Raw GHL Data'!C:C,'Campaign Overview'!A24,'Raw GHL Data'!H:H,"&gt;="&amp;TODAY()-7))</f>
        <v/>
      </c>
      <c r="Q28" s="21" t="str">
        <f aca="false">IF(OR('Campaign Overview'!A24="",M28=0),"",P28/M28)</f>
        <v/>
      </c>
    </row>
    <row r="29" customFormat="false" ht="15" hidden="false" customHeight="false" outlineLevel="0" collapsed="false">
      <c r="K29" s="0" t="str">
        <f aca="false">IF('Campaign Overview'!A25="","",'Campaign Overview'!A25)</f>
        <v/>
      </c>
      <c r="L29" s="0" t="str">
        <f aca="false">IF('Campaign Overview'!A25="","",'Campaign Overview'!B25)</f>
        <v/>
      </c>
      <c r="M29" s="0" t="str">
        <f aca="true">IF('Campaign Overview'!A25="","",COUNTIFS('Raw SmartLead Replies'!A:A,'Campaign Overview'!A25,'Raw SmartLead Replies'!F:F,"&gt;="&amp;TODAY()-7))</f>
        <v/>
      </c>
      <c r="N29" s="0" t="str">
        <f aca="true">IF('Campaign Overview'!A25="","",COUNTIFS('Raw SmartLead Replies'!A:A,'Campaign Overview'!A25,'Raw SmartLead Replies'!G:G,"Interested",'Raw SmartLead Replies'!F:F,"&gt;="&amp;TODAY()-7))</f>
        <v/>
      </c>
      <c r="O29" s="0" t="str">
        <f aca="true">IF('Campaign Overview'!A25="","",COUNTIFS('Raw GHL Data'!C:C,'Campaign Overview'!A25,'Raw GHL Data'!E:E,"&gt;="&amp;TODAY()-7))</f>
        <v/>
      </c>
      <c r="P29" s="0" t="str">
        <f aca="true">IF('Campaign Overview'!A25="","",COUNTIFS('Raw GHL Data'!C:C,'Campaign Overview'!A25,'Raw GHL Data'!H:H,"&gt;="&amp;TODAY()-7))</f>
        <v/>
      </c>
      <c r="Q29" s="21" t="str">
        <f aca="false">IF(OR('Campaign Overview'!A25="",M29=0),"",P29/M29)</f>
        <v/>
      </c>
    </row>
    <row r="30" customFormat="false" ht="15" hidden="false" customHeight="false" outlineLevel="0" collapsed="false">
      <c r="K30" s="0" t="str">
        <f aca="false">IF('Campaign Overview'!A26="","",'Campaign Overview'!A26)</f>
        <v/>
      </c>
      <c r="L30" s="0" t="str">
        <f aca="false">IF('Campaign Overview'!A26="","",'Campaign Overview'!B26)</f>
        <v/>
      </c>
      <c r="M30" s="0" t="str">
        <f aca="true">IF('Campaign Overview'!A26="","",COUNTIFS('Raw SmartLead Replies'!A:A,'Campaign Overview'!A26,'Raw SmartLead Replies'!F:F,"&gt;="&amp;TODAY()-7))</f>
        <v/>
      </c>
      <c r="N30" s="0" t="str">
        <f aca="true">IF('Campaign Overview'!A26="","",COUNTIFS('Raw SmartLead Replies'!A:A,'Campaign Overview'!A26,'Raw SmartLead Replies'!G:G,"Interested",'Raw SmartLead Replies'!F:F,"&gt;="&amp;TODAY()-7))</f>
        <v/>
      </c>
      <c r="O30" s="0" t="str">
        <f aca="true">IF('Campaign Overview'!A26="","",COUNTIFS('Raw GHL Data'!C:C,'Campaign Overview'!A26,'Raw GHL Data'!E:E,"&gt;="&amp;TODAY()-7))</f>
        <v/>
      </c>
      <c r="P30" s="0" t="str">
        <f aca="true">IF('Campaign Overview'!A26="","",COUNTIFS('Raw GHL Data'!C:C,'Campaign Overview'!A26,'Raw GHL Data'!H:H,"&gt;="&amp;TODAY()-7))</f>
        <v/>
      </c>
      <c r="Q30" s="21" t="str">
        <f aca="false">IF(OR('Campaign Overview'!A26="",M30=0),"",P30/M30)</f>
        <v/>
      </c>
    </row>
    <row r="31" customFormat="false" ht="15" hidden="false" customHeight="false" outlineLevel="0" collapsed="false">
      <c r="K31" s="0" t="str">
        <f aca="false">IF('Campaign Overview'!A27="","",'Campaign Overview'!A27)</f>
        <v/>
      </c>
      <c r="L31" s="0" t="str">
        <f aca="false">IF('Campaign Overview'!A27="","",'Campaign Overview'!B27)</f>
        <v/>
      </c>
      <c r="M31" s="0" t="str">
        <f aca="true">IF('Campaign Overview'!A27="","",COUNTIFS('Raw SmartLead Replies'!A:A,'Campaign Overview'!A27,'Raw SmartLead Replies'!F:F,"&gt;="&amp;TODAY()-7))</f>
        <v/>
      </c>
      <c r="N31" s="0" t="str">
        <f aca="true">IF('Campaign Overview'!A27="","",COUNTIFS('Raw SmartLead Replies'!A:A,'Campaign Overview'!A27,'Raw SmartLead Replies'!G:G,"Interested",'Raw SmartLead Replies'!F:F,"&gt;="&amp;TODAY()-7))</f>
        <v/>
      </c>
      <c r="O31" s="0" t="str">
        <f aca="true">IF('Campaign Overview'!A27="","",COUNTIFS('Raw GHL Data'!C:C,'Campaign Overview'!A27,'Raw GHL Data'!E:E,"&gt;="&amp;TODAY()-7))</f>
        <v/>
      </c>
      <c r="P31" s="0" t="str">
        <f aca="true">IF('Campaign Overview'!A27="","",COUNTIFS('Raw GHL Data'!C:C,'Campaign Overview'!A27,'Raw GHL Data'!H:H,"&gt;="&amp;TODAY()-7))</f>
        <v/>
      </c>
      <c r="Q31" s="21" t="str">
        <f aca="false">IF(OR('Campaign Overview'!A27="",M31=0),"",P31/M31)</f>
        <v/>
      </c>
    </row>
    <row r="32" customFormat="false" ht="15" hidden="false" customHeight="false" outlineLevel="0" collapsed="false">
      <c r="K32" s="0" t="str">
        <f aca="false">IF('Campaign Overview'!A28="","",'Campaign Overview'!A28)</f>
        <v/>
      </c>
      <c r="L32" s="0" t="str">
        <f aca="false">IF('Campaign Overview'!A28="","",'Campaign Overview'!B28)</f>
        <v/>
      </c>
      <c r="M32" s="0" t="str">
        <f aca="true">IF('Campaign Overview'!A28="","",COUNTIFS('Raw SmartLead Replies'!A:A,'Campaign Overview'!A28,'Raw SmartLead Replies'!F:F,"&gt;="&amp;TODAY()-7))</f>
        <v/>
      </c>
      <c r="N32" s="0" t="str">
        <f aca="true">IF('Campaign Overview'!A28="","",COUNTIFS('Raw SmartLead Replies'!A:A,'Campaign Overview'!A28,'Raw SmartLead Replies'!G:G,"Interested",'Raw SmartLead Replies'!F:F,"&gt;="&amp;TODAY()-7))</f>
        <v/>
      </c>
      <c r="O32" s="0" t="str">
        <f aca="true">IF('Campaign Overview'!A28="","",COUNTIFS('Raw GHL Data'!C:C,'Campaign Overview'!A28,'Raw GHL Data'!E:E,"&gt;="&amp;TODAY()-7))</f>
        <v/>
      </c>
      <c r="P32" s="0" t="str">
        <f aca="true">IF('Campaign Overview'!A28="","",COUNTIFS('Raw GHL Data'!C:C,'Campaign Overview'!A28,'Raw GHL Data'!H:H,"&gt;="&amp;TODAY()-7))</f>
        <v/>
      </c>
      <c r="Q32" s="21" t="str">
        <f aca="false">IF(OR('Campaign Overview'!A28="",M32=0),"",P32/M32)</f>
        <v/>
      </c>
    </row>
    <row r="33" customFormat="false" ht="15" hidden="false" customHeight="false" outlineLevel="0" collapsed="false">
      <c r="K33" s="0" t="str">
        <f aca="false">IF('Campaign Overview'!A29="","",'Campaign Overview'!A29)</f>
        <v/>
      </c>
      <c r="L33" s="0" t="str">
        <f aca="false">IF('Campaign Overview'!A29="","",'Campaign Overview'!B29)</f>
        <v/>
      </c>
      <c r="M33" s="0" t="str">
        <f aca="true">IF('Campaign Overview'!A29="","",COUNTIFS('Raw SmartLead Replies'!A:A,'Campaign Overview'!A29,'Raw SmartLead Replies'!F:F,"&gt;="&amp;TODAY()-7))</f>
        <v/>
      </c>
      <c r="N33" s="0" t="str">
        <f aca="true">IF('Campaign Overview'!A29="","",COUNTIFS('Raw SmartLead Replies'!A:A,'Campaign Overview'!A29,'Raw SmartLead Replies'!G:G,"Interested",'Raw SmartLead Replies'!F:F,"&gt;="&amp;TODAY()-7))</f>
        <v/>
      </c>
      <c r="O33" s="0" t="str">
        <f aca="true">IF('Campaign Overview'!A29="","",COUNTIFS('Raw GHL Data'!C:C,'Campaign Overview'!A29,'Raw GHL Data'!E:E,"&gt;="&amp;TODAY()-7))</f>
        <v/>
      </c>
      <c r="P33" s="0" t="str">
        <f aca="true">IF('Campaign Overview'!A29="","",COUNTIFS('Raw GHL Data'!C:C,'Campaign Overview'!A29,'Raw GHL Data'!H:H,"&gt;="&amp;TODAY()-7))</f>
        <v/>
      </c>
      <c r="Q33" s="21" t="str">
        <f aca="false">IF(OR('Campaign Overview'!A29="",M33=0),"",P33/M33)</f>
        <v/>
      </c>
    </row>
    <row r="34" customFormat="false" ht="15" hidden="false" customHeight="false" outlineLevel="0" collapsed="false">
      <c r="K34" s="0" t="str">
        <f aca="false">IF('Campaign Overview'!A30="","",'Campaign Overview'!A30)</f>
        <v/>
      </c>
      <c r="L34" s="0" t="str">
        <f aca="false">IF('Campaign Overview'!A30="","",'Campaign Overview'!B30)</f>
        <v/>
      </c>
      <c r="M34" s="0" t="str">
        <f aca="true">IF('Campaign Overview'!A30="","",COUNTIFS('Raw SmartLead Replies'!A:A,'Campaign Overview'!A30,'Raw SmartLead Replies'!F:F,"&gt;="&amp;TODAY()-7))</f>
        <v/>
      </c>
      <c r="N34" s="0" t="str">
        <f aca="true">IF('Campaign Overview'!A30="","",COUNTIFS('Raw SmartLead Replies'!A:A,'Campaign Overview'!A30,'Raw SmartLead Replies'!G:G,"Interested",'Raw SmartLead Replies'!F:F,"&gt;="&amp;TODAY()-7))</f>
        <v/>
      </c>
      <c r="O34" s="0" t="str">
        <f aca="true">IF('Campaign Overview'!A30="","",COUNTIFS('Raw GHL Data'!C:C,'Campaign Overview'!A30,'Raw GHL Data'!E:E,"&gt;="&amp;TODAY()-7))</f>
        <v/>
      </c>
      <c r="P34" s="0" t="str">
        <f aca="true">IF('Campaign Overview'!A30="","",COUNTIFS('Raw GHL Data'!C:C,'Campaign Overview'!A30,'Raw GHL Data'!H:H,"&gt;="&amp;TODAY()-7))</f>
        <v/>
      </c>
      <c r="Q34" s="21" t="str">
        <f aca="false">IF(OR('Campaign Overview'!A30="",M34=0),"",P34/M34)</f>
        <v/>
      </c>
    </row>
    <row r="35" customFormat="false" ht="15" hidden="false" customHeight="false" outlineLevel="0" collapsed="false">
      <c r="K35" s="0" t="str">
        <f aca="false">IF('Campaign Overview'!A31="","",'Campaign Overview'!A31)</f>
        <v/>
      </c>
      <c r="L35" s="0" t="str">
        <f aca="false">IF('Campaign Overview'!A31="","",'Campaign Overview'!B31)</f>
        <v/>
      </c>
      <c r="M35" s="0" t="str">
        <f aca="true">IF('Campaign Overview'!A31="","",COUNTIFS('Raw SmartLead Replies'!A:A,'Campaign Overview'!A31,'Raw SmartLead Replies'!F:F,"&gt;="&amp;TODAY()-7))</f>
        <v/>
      </c>
      <c r="N35" s="0" t="str">
        <f aca="true">IF('Campaign Overview'!A31="","",COUNTIFS('Raw SmartLead Replies'!A:A,'Campaign Overview'!A31,'Raw SmartLead Replies'!G:G,"Interested",'Raw SmartLead Replies'!F:F,"&gt;="&amp;TODAY()-7))</f>
        <v/>
      </c>
      <c r="O35" s="0" t="str">
        <f aca="true">IF('Campaign Overview'!A31="","",COUNTIFS('Raw GHL Data'!C:C,'Campaign Overview'!A31,'Raw GHL Data'!E:E,"&gt;="&amp;TODAY()-7))</f>
        <v/>
      </c>
      <c r="P35" s="0" t="str">
        <f aca="true">IF('Campaign Overview'!A31="","",COUNTIFS('Raw GHL Data'!C:C,'Campaign Overview'!A31,'Raw GHL Data'!H:H,"&gt;="&amp;TODAY()-7))</f>
        <v/>
      </c>
      <c r="Q35" s="21" t="str">
        <f aca="false">IF(OR('Campaign Overview'!A31="",M35=0),"",P35/M35)</f>
        <v/>
      </c>
    </row>
    <row r="36" customFormat="false" ht="15" hidden="false" customHeight="false" outlineLevel="0" collapsed="false">
      <c r="K36" s="0" t="str">
        <f aca="false">IF('Campaign Overview'!A32="","",'Campaign Overview'!A32)</f>
        <v/>
      </c>
      <c r="L36" s="0" t="str">
        <f aca="false">IF('Campaign Overview'!A32="","",'Campaign Overview'!B32)</f>
        <v/>
      </c>
      <c r="M36" s="0" t="str">
        <f aca="true">IF('Campaign Overview'!A32="","",COUNTIFS('Raw SmartLead Replies'!A:A,'Campaign Overview'!A32,'Raw SmartLead Replies'!F:F,"&gt;="&amp;TODAY()-7))</f>
        <v/>
      </c>
      <c r="N36" s="0" t="str">
        <f aca="true">IF('Campaign Overview'!A32="","",COUNTIFS('Raw SmartLead Replies'!A:A,'Campaign Overview'!A32,'Raw SmartLead Replies'!G:G,"Interested",'Raw SmartLead Replies'!F:F,"&gt;="&amp;TODAY()-7))</f>
        <v/>
      </c>
      <c r="O36" s="0" t="str">
        <f aca="true">IF('Campaign Overview'!A32="","",COUNTIFS('Raw GHL Data'!C:C,'Campaign Overview'!A32,'Raw GHL Data'!E:E,"&gt;="&amp;TODAY()-7))</f>
        <v/>
      </c>
      <c r="P36" s="0" t="str">
        <f aca="true">IF('Campaign Overview'!A32="","",COUNTIFS('Raw GHL Data'!C:C,'Campaign Overview'!A32,'Raw GHL Data'!H:H,"&gt;="&amp;TODAY()-7))</f>
        <v/>
      </c>
      <c r="Q36" s="21" t="str">
        <f aca="false">IF(OR('Campaign Overview'!A32="",M36=0),"",P36/M36)</f>
        <v/>
      </c>
    </row>
    <row r="37" customFormat="false" ht="15" hidden="false" customHeight="false" outlineLevel="0" collapsed="false">
      <c r="K37" s="0" t="str">
        <f aca="false">IF('Campaign Overview'!A33="","",'Campaign Overview'!A33)</f>
        <v/>
      </c>
      <c r="L37" s="0" t="str">
        <f aca="false">IF('Campaign Overview'!A33="","",'Campaign Overview'!B33)</f>
        <v/>
      </c>
      <c r="M37" s="0" t="str">
        <f aca="true">IF('Campaign Overview'!A33="","",COUNTIFS('Raw SmartLead Replies'!A:A,'Campaign Overview'!A33,'Raw SmartLead Replies'!F:F,"&gt;="&amp;TODAY()-7))</f>
        <v/>
      </c>
      <c r="N37" s="0" t="str">
        <f aca="true">IF('Campaign Overview'!A33="","",COUNTIFS('Raw SmartLead Replies'!A:A,'Campaign Overview'!A33,'Raw SmartLead Replies'!G:G,"Interested",'Raw SmartLead Replies'!F:F,"&gt;="&amp;TODAY()-7))</f>
        <v/>
      </c>
      <c r="O37" s="0" t="str">
        <f aca="true">IF('Campaign Overview'!A33="","",COUNTIFS('Raw GHL Data'!C:C,'Campaign Overview'!A33,'Raw GHL Data'!E:E,"&gt;="&amp;TODAY()-7))</f>
        <v/>
      </c>
      <c r="P37" s="0" t="str">
        <f aca="true">IF('Campaign Overview'!A33="","",COUNTIFS('Raw GHL Data'!C:C,'Campaign Overview'!A33,'Raw GHL Data'!H:H,"&gt;="&amp;TODAY()-7))</f>
        <v/>
      </c>
      <c r="Q37" s="21" t="str">
        <f aca="false">IF(OR('Campaign Overview'!A33="",M37=0),"",P37/M37)</f>
        <v/>
      </c>
    </row>
    <row r="38" customFormat="false" ht="15" hidden="false" customHeight="false" outlineLevel="0" collapsed="false">
      <c r="K38" s="0" t="str">
        <f aca="false">IF('Campaign Overview'!A34="","",'Campaign Overview'!A34)</f>
        <v/>
      </c>
      <c r="L38" s="0" t="str">
        <f aca="false">IF('Campaign Overview'!A34="","",'Campaign Overview'!B34)</f>
        <v/>
      </c>
      <c r="M38" s="0" t="str">
        <f aca="true">IF('Campaign Overview'!A34="","",COUNTIFS('Raw SmartLead Replies'!A:A,'Campaign Overview'!A34,'Raw SmartLead Replies'!F:F,"&gt;="&amp;TODAY()-7))</f>
        <v/>
      </c>
      <c r="N38" s="0" t="str">
        <f aca="true">IF('Campaign Overview'!A34="","",COUNTIFS('Raw SmartLead Replies'!A:A,'Campaign Overview'!A34,'Raw SmartLead Replies'!G:G,"Interested",'Raw SmartLead Replies'!F:F,"&gt;="&amp;TODAY()-7))</f>
        <v/>
      </c>
      <c r="O38" s="0" t="str">
        <f aca="true">IF('Campaign Overview'!A34="","",COUNTIFS('Raw GHL Data'!C:C,'Campaign Overview'!A34,'Raw GHL Data'!E:E,"&gt;="&amp;TODAY()-7))</f>
        <v/>
      </c>
      <c r="P38" s="0" t="str">
        <f aca="true">IF('Campaign Overview'!A34="","",COUNTIFS('Raw GHL Data'!C:C,'Campaign Overview'!A34,'Raw GHL Data'!H:H,"&gt;="&amp;TODAY()-7))</f>
        <v/>
      </c>
      <c r="Q38" s="21" t="str">
        <f aca="false">IF(OR('Campaign Overview'!A34="",M38=0),"",P38/M38)</f>
        <v/>
      </c>
    </row>
    <row r="39" customFormat="false" ht="15" hidden="false" customHeight="false" outlineLevel="0" collapsed="false">
      <c r="K39" s="0" t="str">
        <f aca="false">IF('Campaign Overview'!A35="","",'Campaign Overview'!A35)</f>
        <v/>
      </c>
      <c r="L39" s="0" t="str">
        <f aca="false">IF('Campaign Overview'!A35="","",'Campaign Overview'!B35)</f>
        <v/>
      </c>
      <c r="M39" s="0" t="str">
        <f aca="true">IF('Campaign Overview'!A35="","",COUNTIFS('Raw SmartLead Replies'!A:A,'Campaign Overview'!A35,'Raw SmartLead Replies'!F:F,"&gt;="&amp;TODAY()-7))</f>
        <v/>
      </c>
      <c r="N39" s="0" t="str">
        <f aca="true">IF('Campaign Overview'!A35="","",COUNTIFS('Raw SmartLead Replies'!A:A,'Campaign Overview'!A35,'Raw SmartLead Replies'!G:G,"Interested",'Raw SmartLead Replies'!F:F,"&gt;="&amp;TODAY()-7))</f>
        <v/>
      </c>
      <c r="O39" s="0" t="str">
        <f aca="true">IF('Campaign Overview'!A35="","",COUNTIFS('Raw GHL Data'!C:C,'Campaign Overview'!A35,'Raw GHL Data'!E:E,"&gt;="&amp;TODAY()-7))</f>
        <v/>
      </c>
      <c r="P39" s="0" t="str">
        <f aca="true">IF('Campaign Overview'!A35="","",COUNTIFS('Raw GHL Data'!C:C,'Campaign Overview'!A35,'Raw GHL Data'!H:H,"&gt;="&amp;TODAY()-7))</f>
        <v/>
      </c>
      <c r="Q39" s="21" t="str">
        <f aca="false">IF(OR('Campaign Overview'!A35="",M39=0),"",P39/M39)</f>
        <v/>
      </c>
    </row>
    <row r="40" customFormat="false" ht="15" hidden="false" customHeight="false" outlineLevel="0" collapsed="false">
      <c r="K40" s="0" t="str">
        <f aca="false">IF('Campaign Overview'!A36="","",'Campaign Overview'!A36)</f>
        <v/>
      </c>
      <c r="L40" s="0" t="str">
        <f aca="false">IF('Campaign Overview'!A36="","",'Campaign Overview'!B36)</f>
        <v/>
      </c>
      <c r="M40" s="0" t="str">
        <f aca="true">IF('Campaign Overview'!A36="","",COUNTIFS('Raw SmartLead Replies'!A:A,'Campaign Overview'!A36,'Raw SmartLead Replies'!F:F,"&gt;="&amp;TODAY()-7))</f>
        <v/>
      </c>
      <c r="N40" s="0" t="str">
        <f aca="true">IF('Campaign Overview'!A36="","",COUNTIFS('Raw SmartLead Replies'!A:A,'Campaign Overview'!A36,'Raw SmartLead Replies'!G:G,"Interested",'Raw SmartLead Replies'!F:F,"&gt;="&amp;TODAY()-7))</f>
        <v/>
      </c>
      <c r="O40" s="0" t="str">
        <f aca="true">IF('Campaign Overview'!A36="","",COUNTIFS('Raw GHL Data'!C:C,'Campaign Overview'!A36,'Raw GHL Data'!E:E,"&gt;="&amp;TODAY()-7))</f>
        <v/>
      </c>
      <c r="P40" s="0" t="str">
        <f aca="true">IF('Campaign Overview'!A36="","",COUNTIFS('Raw GHL Data'!C:C,'Campaign Overview'!A36,'Raw GHL Data'!H:H,"&gt;="&amp;TODAY()-7))</f>
        <v/>
      </c>
      <c r="Q40" s="21" t="str">
        <f aca="false">IF(OR('Campaign Overview'!A36="",M40=0),"",P40/M40)</f>
        <v/>
      </c>
    </row>
    <row r="41" customFormat="false" ht="15" hidden="false" customHeight="false" outlineLevel="0" collapsed="false">
      <c r="K41" s="0" t="str">
        <f aca="false">IF('Campaign Overview'!A37="","",'Campaign Overview'!A37)</f>
        <v/>
      </c>
      <c r="L41" s="0" t="str">
        <f aca="false">IF('Campaign Overview'!A37="","",'Campaign Overview'!B37)</f>
        <v/>
      </c>
      <c r="M41" s="0" t="str">
        <f aca="true">IF('Campaign Overview'!A37="","",COUNTIFS('Raw SmartLead Replies'!A:A,'Campaign Overview'!A37,'Raw SmartLead Replies'!F:F,"&gt;="&amp;TODAY()-7))</f>
        <v/>
      </c>
      <c r="N41" s="0" t="str">
        <f aca="true">IF('Campaign Overview'!A37="","",COUNTIFS('Raw SmartLead Replies'!A:A,'Campaign Overview'!A37,'Raw SmartLead Replies'!G:G,"Interested",'Raw SmartLead Replies'!F:F,"&gt;="&amp;TODAY()-7))</f>
        <v/>
      </c>
      <c r="O41" s="0" t="str">
        <f aca="true">IF('Campaign Overview'!A37="","",COUNTIFS('Raw GHL Data'!C:C,'Campaign Overview'!A37,'Raw GHL Data'!E:E,"&gt;="&amp;TODAY()-7))</f>
        <v/>
      </c>
      <c r="P41" s="0" t="str">
        <f aca="true">IF('Campaign Overview'!A37="","",COUNTIFS('Raw GHL Data'!C:C,'Campaign Overview'!A37,'Raw GHL Data'!H:H,"&gt;="&amp;TODAY()-7))</f>
        <v/>
      </c>
      <c r="Q41" s="21" t="str">
        <f aca="false">IF(OR('Campaign Overview'!A37="",M41=0),"",P41/M41)</f>
        <v/>
      </c>
    </row>
    <row r="42" customFormat="false" ht="15" hidden="false" customHeight="false" outlineLevel="0" collapsed="false">
      <c r="K42" s="0" t="str">
        <f aca="false">IF('Campaign Overview'!A38="","",'Campaign Overview'!A38)</f>
        <v/>
      </c>
      <c r="L42" s="0" t="str">
        <f aca="false">IF('Campaign Overview'!A38="","",'Campaign Overview'!B38)</f>
        <v/>
      </c>
      <c r="M42" s="0" t="str">
        <f aca="true">IF('Campaign Overview'!A38="","",COUNTIFS('Raw SmartLead Replies'!A:A,'Campaign Overview'!A38,'Raw SmartLead Replies'!F:F,"&gt;="&amp;TODAY()-7))</f>
        <v/>
      </c>
      <c r="N42" s="0" t="str">
        <f aca="true">IF('Campaign Overview'!A38="","",COUNTIFS('Raw SmartLead Replies'!A:A,'Campaign Overview'!A38,'Raw SmartLead Replies'!G:G,"Interested",'Raw SmartLead Replies'!F:F,"&gt;="&amp;TODAY()-7))</f>
        <v/>
      </c>
      <c r="O42" s="0" t="str">
        <f aca="true">IF('Campaign Overview'!A38="","",COUNTIFS('Raw GHL Data'!C:C,'Campaign Overview'!A38,'Raw GHL Data'!E:E,"&gt;="&amp;TODAY()-7))</f>
        <v/>
      </c>
      <c r="P42" s="0" t="str">
        <f aca="true">IF('Campaign Overview'!A38="","",COUNTIFS('Raw GHL Data'!C:C,'Campaign Overview'!A38,'Raw GHL Data'!H:H,"&gt;="&amp;TODAY()-7))</f>
        <v/>
      </c>
      <c r="Q42" s="21" t="str">
        <f aca="false">IF(OR('Campaign Overview'!A38="",M42=0),"",P42/M42)</f>
        <v/>
      </c>
    </row>
    <row r="43" customFormat="false" ht="15" hidden="false" customHeight="false" outlineLevel="0" collapsed="false">
      <c r="K43" s="0" t="str">
        <f aca="false">IF('Campaign Overview'!A39="","",'Campaign Overview'!A39)</f>
        <v/>
      </c>
      <c r="L43" s="0" t="str">
        <f aca="false">IF('Campaign Overview'!A39="","",'Campaign Overview'!B39)</f>
        <v/>
      </c>
      <c r="M43" s="0" t="str">
        <f aca="true">IF('Campaign Overview'!A39="","",COUNTIFS('Raw SmartLead Replies'!A:A,'Campaign Overview'!A39,'Raw SmartLead Replies'!F:F,"&gt;="&amp;TODAY()-7))</f>
        <v/>
      </c>
      <c r="N43" s="0" t="str">
        <f aca="true">IF('Campaign Overview'!A39="","",COUNTIFS('Raw SmartLead Replies'!A:A,'Campaign Overview'!A39,'Raw SmartLead Replies'!G:G,"Interested",'Raw SmartLead Replies'!F:F,"&gt;="&amp;TODAY()-7))</f>
        <v/>
      </c>
      <c r="O43" s="0" t="str">
        <f aca="true">IF('Campaign Overview'!A39="","",COUNTIFS('Raw GHL Data'!C:C,'Campaign Overview'!A39,'Raw GHL Data'!E:E,"&gt;="&amp;TODAY()-7))</f>
        <v/>
      </c>
      <c r="P43" s="0" t="str">
        <f aca="true">IF('Campaign Overview'!A39="","",COUNTIFS('Raw GHL Data'!C:C,'Campaign Overview'!A39,'Raw GHL Data'!H:H,"&gt;="&amp;TODAY()-7))</f>
        <v/>
      </c>
      <c r="Q43" s="21" t="str">
        <f aca="false">IF(OR('Campaign Overview'!A39="",M43=0),"",P43/M43)</f>
        <v/>
      </c>
    </row>
    <row r="44" customFormat="false" ht="15" hidden="false" customHeight="false" outlineLevel="0" collapsed="false">
      <c r="K44" s="0" t="str">
        <f aca="false">IF('Campaign Overview'!A40="","",'Campaign Overview'!A40)</f>
        <v/>
      </c>
      <c r="L44" s="0" t="str">
        <f aca="false">IF('Campaign Overview'!A40="","",'Campaign Overview'!B40)</f>
        <v/>
      </c>
      <c r="M44" s="0" t="str">
        <f aca="true">IF('Campaign Overview'!A40="","",COUNTIFS('Raw SmartLead Replies'!A:A,'Campaign Overview'!A40,'Raw SmartLead Replies'!F:F,"&gt;="&amp;TODAY()-7))</f>
        <v/>
      </c>
      <c r="N44" s="0" t="str">
        <f aca="true">IF('Campaign Overview'!A40="","",COUNTIFS('Raw SmartLead Replies'!A:A,'Campaign Overview'!A40,'Raw SmartLead Replies'!G:G,"Interested",'Raw SmartLead Replies'!F:F,"&gt;="&amp;TODAY()-7))</f>
        <v/>
      </c>
      <c r="O44" s="0" t="str">
        <f aca="true">IF('Campaign Overview'!A40="","",COUNTIFS('Raw GHL Data'!C:C,'Campaign Overview'!A40,'Raw GHL Data'!E:E,"&gt;="&amp;TODAY()-7))</f>
        <v/>
      </c>
      <c r="P44" s="0" t="str">
        <f aca="true">IF('Campaign Overview'!A40="","",COUNTIFS('Raw GHL Data'!C:C,'Campaign Overview'!A40,'Raw GHL Data'!H:H,"&gt;="&amp;TODAY()-7))</f>
        <v/>
      </c>
      <c r="Q44" s="21" t="str">
        <f aca="false">IF(OR('Campaign Overview'!A40="",M44=0),"",P44/M44)</f>
        <v/>
      </c>
    </row>
    <row r="45" customFormat="false" ht="15" hidden="false" customHeight="false" outlineLevel="0" collapsed="false">
      <c r="K45" s="0" t="str">
        <f aca="false">IF('Campaign Overview'!A41="","",'Campaign Overview'!A41)</f>
        <v/>
      </c>
      <c r="L45" s="0" t="str">
        <f aca="false">IF('Campaign Overview'!A41="","",'Campaign Overview'!B41)</f>
        <v/>
      </c>
      <c r="M45" s="0" t="str">
        <f aca="true">IF('Campaign Overview'!A41="","",COUNTIFS('Raw SmartLead Replies'!A:A,'Campaign Overview'!A41,'Raw SmartLead Replies'!F:F,"&gt;="&amp;TODAY()-7))</f>
        <v/>
      </c>
      <c r="N45" s="0" t="str">
        <f aca="true">IF('Campaign Overview'!A41="","",COUNTIFS('Raw SmartLead Replies'!A:A,'Campaign Overview'!A41,'Raw SmartLead Replies'!G:G,"Interested",'Raw SmartLead Replies'!F:F,"&gt;="&amp;TODAY()-7))</f>
        <v/>
      </c>
      <c r="O45" s="0" t="str">
        <f aca="true">IF('Campaign Overview'!A41="","",COUNTIFS('Raw GHL Data'!C:C,'Campaign Overview'!A41,'Raw GHL Data'!E:E,"&gt;="&amp;TODAY()-7))</f>
        <v/>
      </c>
      <c r="P45" s="0" t="str">
        <f aca="true">IF('Campaign Overview'!A41="","",COUNTIFS('Raw GHL Data'!C:C,'Campaign Overview'!A41,'Raw GHL Data'!H:H,"&gt;="&amp;TODAY()-7))</f>
        <v/>
      </c>
      <c r="Q45" s="21" t="str">
        <f aca="false">IF(OR('Campaign Overview'!A41="",M45=0),"",P45/M45)</f>
        <v/>
      </c>
    </row>
    <row r="46" customFormat="false" ht="15" hidden="false" customHeight="false" outlineLevel="0" collapsed="false">
      <c r="K46" s="0" t="str">
        <f aca="false">IF('Campaign Overview'!A42="","",'Campaign Overview'!A42)</f>
        <v/>
      </c>
      <c r="L46" s="0" t="str">
        <f aca="false">IF('Campaign Overview'!A42="","",'Campaign Overview'!B42)</f>
        <v/>
      </c>
      <c r="M46" s="0" t="str">
        <f aca="true">IF('Campaign Overview'!A42="","",COUNTIFS('Raw SmartLead Replies'!A:A,'Campaign Overview'!A42,'Raw SmartLead Replies'!F:F,"&gt;="&amp;TODAY()-7))</f>
        <v/>
      </c>
      <c r="N46" s="0" t="str">
        <f aca="true">IF('Campaign Overview'!A42="","",COUNTIFS('Raw SmartLead Replies'!A:A,'Campaign Overview'!A42,'Raw SmartLead Replies'!G:G,"Interested",'Raw SmartLead Replies'!F:F,"&gt;="&amp;TODAY()-7))</f>
        <v/>
      </c>
      <c r="O46" s="0" t="str">
        <f aca="true">IF('Campaign Overview'!A42="","",COUNTIFS('Raw GHL Data'!C:C,'Campaign Overview'!A42,'Raw GHL Data'!E:E,"&gt;="&amp;TODAY()-7))</f>
        <v/>
      </c>
      <c r="P46" s="0" t="str">
        <f aca="true">IF('Campaign Overview'!A42="","",COUNTIFS('Raw GHL Data'!C:C,'Campaign Overview'!A42,'Raw GHL Data'!H:H,"&gt;="&amp;TODAY()-7))</f>
        <v/>
      </c>
      <c r="Q46" s="21" t="str">
        <f aca="false">IF(OR('Campaign Overview'!A42="",M46=0),"",P46/M46)</f>
        <v/>
      </c>
    </row>
    <row r="47" customFormat="false" ht="15" hidden="false" customHeight="false" outlineLevel="0" collapsed="false">
      <c r="K47" s="0" t="str">
        <f aca="false">IF('Campaign Overview'!A43="","",'Campaign Overview'!A43)</f>
        <v/>
      </c>
      <c r="L47" s="0" t="str">
        <f aca="false">IF('Campaign Overview'!A43="","",'Campaign Overview'!B43)</f>
        <v/>
      </c>
      <c r="M47" s="0" t="str">
        <f aca="true">IF('Campaign Overview'!A43="","",COUNTIFS('Raw SmartLead Replies'!A:A,'Campaign Overview'!A43,'Raw SmartLead Replies'!F:F,"&gt;="&amp;TODAY()-7))</f>
        <v/>
      </c>
      <c r="N47" s="0" t="str">
        <f aca="true">IF('Campaign Overview'!A43="","",COUNTIFS('Raw SmartLead Replies'!A:A,'Campaign Overview'!A43,'Raw SmartLead Replies'!G:G,"Interested",'Raw SmartLead Replies'!F:F,"&gt;="&amp;TODAY()-7))</f>
        <v/>
      </c>
      <c r="O47" s="0" t="str">
        <f aca="true">IF('Campaign Overview'!A43="","",COUNTIFS('Raw GHL Data'!C:C,'Campaign Overview'!A43,'Raw GHL Data'!E:E,"&gt;="&amp;TODAY()-7))</f>
        <v/>
      </c>
      <c r="P47" s="0" t="str">
        <f aca="true">IF('Campaign Overview'!A43="","",COUNTIFS('Raw GHL Data'!C:C,'Campaign Overview'!A43,'Raw GHL Data'!H:H,"&gt;="&amp;TODAY()-7))</f>
        <v/>
      </c>
      <c r="Q47" s="21" t="str">
        <f aca="false">IF(OR('Campaign Overview'!A43="",M47=0),"",P47/M47)</f>
        <v/>
      </c>
    </row>
    <row r="48" customFormat="false" ht="15" hidden="false" customHeight="false" outlineLevel="0" collapsed="false">
      <c r="K48" s="0" t="str">
        <f aca="false">IF('Campaign Overview'!A44="","",'Campaign Overview'!A44)</f>
        <v/>
      </c>
      <c r="L48" s="0" t="str">
        <f aca="false">IF('Campaign Overview'!A44="","",'Campaign Overview'!B44)</f>
        <v/>
      </c>
      <c r="M48" s="0" t="str">
        <f aca="true">IF('Campaign Overview'!A44="","",COUNTIFS('Raw SmartLead Replies'!A:A,'Campaign Overview'!A44,'Raw SmartLead Replies'!F:F,"&gt;="&amp;TODAY()-7))</f>
        <v/>
      </c>
      <c r="N48" s="0" t="str">
        <f aca="true">IF('Campaign Overview'!A44="","",COUNTIFS('Raw SmartLead Replies'!A:A,'Campaign Overview'!A44,'Raw SmartLead Replies'!G:G,"Interested",'Raw SmartLead Replies'!F:F,"&gt;="&amp;TODAY()-7))</f>
        <v/>
      </c>
      <c r="O48" s="0" t="str">
        <f aca="true">IF('Campaign Overview'!A44="","",COUNTIFS('Raw GHL Data'!C:C,'Campaign Overview'!A44,'Raw GHL Data'!E:E,"&gt;="&amp;TODAY()-7))</f>
        <v/>
      </c>
      <c r="P48" s="0" t="str">
        <f aca="true">IF('Campaign Overview'!A44="","",COUNTIFS('Raw GHL Data'!C:C,'Campaign Overview'!A44,'Raw GHL Data'!H:H,"&gt;="&amp;TODAY()-7))</f>
        <v/>
      </c>
      <c r="Q48" s="21" t="str">
        <f aca="false">IF(OR('Campaign Overview'!A44="",M48=0),"",P48/M48)</f>
        <v/>
      </c>
    </row>
    <row r="49" customFormat="false" ht="15" hidden="false" customHeight="false" outlineLevel="0" collapsed="false">
      <c r="K49" s="0" t="str">
        <f aca="false">IF('Campaign Overview'!A45="","",'Campaign Overview'!A45)</f>
        <v/>
      </c>
      <c r="L49" s="0" t="str">
        <f aca="false">IF('Campaign Overview'!A45="","",'Campaign Overview'!B45)</f>
        <v/>
      </c>
      <c r="M49" s="0" t="str">
        <f aca="true">IF('Campaign Overview'!A45="","",COUNTIFS('Raw SmartLead Replies'!A:A,'Campaign Overview'!A45,'Raw SmartLead Replies'!F:F,"&gt;="&amp;TODAY()-7))</f>
        <v/>
      </c>
      <c r="N49" s="0" t="str">
        <f aca="true">IF('Campaign Overview'!A45="","",COUNTIFS('Raw SmartLead Replies'!A:A,'Campaign Overview'!A45,'Raw SmartLead Replies'!G:G,"Interested",'Raw SmartLead Replies'!F:F,"&gt;="&amp;TODAY()-7))</f>
        <v/>
      </c>
      <c r="O49" s="0" t="str">
        <f aca="true">IF('Campaign Overview'!A45="","",COUNTIFS('Raw GHL Data'!C:C,'Campaign Overview'!A45,'Raw GHL Data'!E:E,"&gt;="&amp;TODAY()-7))</f>
        <v/>
      </c>
      <c r="P49" s="0" t="str">
        <f aca="true">IF('Campaign Overview'!A45="","",COUNTIFS('Raw GHL Data'!C:C,'Campaign Overview'!A45,'Raw GHL Data'!H:H,"&gt;="&amp;TODAY()-7))</f>
        <v/>
      </c>
      <c r="Q49" s="21" t="str">
        <f aca="false">IF(OR('Campaign Overview'!A45="",M49=0),"",P49/M49)</f>
        <v/>
      </c>
    </row>
    <row r="50" customFormat="false" ht="15" hidden="false" customHeight="false" outlineLevel="0" collapsed="false">
      <c r="K50" s="0" t="str">
        <f aca="false">IF('Campaign Overview'!A46="","",'Campaign Overview'!A46)</f>
        <v/>
      </c>
      <c r="L50" s="0" t="str">
        <f aca="false">IF('Campaign Overview'!A46="","",'Campaign Overview'!B46)</f>
        <v/>
      </c>
      <c r="M50" s="0" t="str">
        <f aca="true">IF('Campaign Overview'!A46="","",COUNTIFS('Raw SmartLead Replies'!A:A,'Campaign Overview'!A46,'Raw SmartLead Replies'!F:F,"&gt;="&amp;TODAY()-7))</f>
        <v/>
      </c>
      <c r="N50" s="0" t="str">
        <f aca="true">IF('Campaign Overview'!A46="","",COUNTIFS('Raw SmartLead Replies'!A:A,'Campaign Overview'!A46,'Raw SmartLead Replies'!G:G,"Interested",'Raw SmartLead Replies'!F:F,"&gt;="&amp;TODAY()-7))</f>
        <v/>
      </c>
      <c r="O50" s="0" t="str">
        <f aca="true">IF('Campaign Overview'!A46="","",COUNTIFS('Raw GHL Data'!C:C,'Campaign Overview'!A46,'Raw GHL Data'!E:E,"&gt;="&amp;TODAY()-7))</f>
        <v/>
      </c>
      <c r="P50" s="0" t="str">
        <f aca="true">IF('Campaign Overview'!A46="","",COUNTIFS('Raw GHL Data'!C:C,'Campaign Overview'!A46,'Raw GHL Data'!H:H,"&gt;="&amp;TODAY()-7))</f>
        <v/>
      </c>
      <c r="Q50" s="21" t="str">
        <f aca="false">IF(OR('Campaign Overview'!A46="",M50=0),"",P50/M50)</f>
        <v/>
      </c>
    </row>
    <row r="51" customFormat="false" ht="15" hidden="false" customHeight="false" outlineLevel="0" collapsed="false">
      <c r="K51" s="0" t="str">
        <f aca="false">IF('Campaign Overview'!A47="","",'Campaign Overview'!A47)</f>
        <v/>
      </c>
      <c r="L51" s="0" t="str">
        <f aca="false">IF('Campaign Overview'!A47="","",'Campaign Overview'!B47)</f>
        <v/>
      </c>
      <c r="M51" s="0" t="str">
        <f aca="true">IF('Campaign Overview'!A47="","",COUNTIFS('Raw SmartLead Replies'!A:A,'Campaign Overview'!A47,'Raw SmartLead Replies'!F:F,"&gt;="&amp;TODAY()-7))</f>
        <v/>
      </c>
      <c r="N51" s="0" t="str">
        <f aca="true">IF('Campaign Overview'!A47="","",COUNTIFS('Raw SmartLead Replies'!A:A,'Campaign Overview'!A47,'Raw SmartLead Replies'!G:G,"Interested",'Raw SmartLead Replies'!F:F,"&gt;="&amp;TODAY()-7))</f>
        <v/>
      </c>
      <c r="O51" s="0" t="str">
        <f aca="true">IF('Campaign Overview'!A47="","",COUNTIFS('Raw GHL Data'!C:C,'Campaign Overview'!A47,'Raw GHL Data'!E:E,"&gt;="&amp;TODAY()-7))</f>
        <v/>
      </c>
      <c r="P51" s="0" t="str">
        <f aca="true">IF('Campaign Overview'!A47="","",COUNTIFS('Raw GHL Data'!C:C,'Campaign Overview'!A47,'Raw GHL Data'!H:H,"&gt;="&amp;TODAY()-7))</f>
        <v/>
      </c>
      <c r="Q51" s="21" t="str">
        <f aca="false">IF(OR('Campaign Overview'!A47="",M51=0),"",P51/M51)</f>
        <v/>
      </c>
    </row>
    <row r="52" customFormat="false" ht="15" hidden="false" customHeight="false" outlineLevel="0" collapsed="false">
      <c r="K52" s="0" t="str">
        <f aca="false">IF('Campaign Overview'!A48="","",'Campaign Overview'!A48)</f>
        <v/>
      </c>
      <c r="L52" s="0" t="str">
        <f aca="false">IF('Campaign Overview'!A48="","",'Campaign Overview'!B48)</f>
        <v/>
      </c>
      <c r="M52" s="0" t="str">
        <f aca="true">IF('Campaign Overview'!A48="","",COUNTIFS('Raw SmartLead Replies'!A:A,'Campaign Overview'!A48,'Raw SmartLead Replies'!F:F,"&gt;="&amp;TODAY()-7))</f>
        <v/>
      </c>
      <c r="N52" s="0" t="str">
        <f aca="true">IF('Campaign Overview'!A48="","",COUNTIFS('Raw SmartLead Replies'!A:A,'Campaign Overview'!A48,'Raw SmartLead Replies'!G:G,"Interested",'Raw SmartLead Replies'!F:F,"&gt;="&amp;TODAY()-7))</f>
        <v/>
      </c>
      <c r="O52" s="0" t="str">
        <f aca="true">IF('Campaign Overview'!A48="","",COUNTIFS('Raw GHL Data'!C:C,'Campaign Overview'!A48,'Raw GHL Data'!E:E,"&gt;="&amp;TODAY()-7))</f>
        <v/>
      </c>
      <c r="P52" s="0" t="str">
        <f aca="true">IF('Campaign Overview'!A48="","",COUNTIFS('Raw GHL Data'!C:C,'Campaign Overview'!A48,'Raw GHL Data'!H:H,"&gt;="&amp;TODAY()-7))</f>
        <v/>
      </c>
      <c r="Q52" s="21" t="str">
        <f aca="false">IF(OR('Campaign Overview'!A48="",M52=0),"",P52/M52)</f>
        <v/>
      </c>
    </row>
    <row r="53" customFormat="false" ht="15" hidden="false" customHeight="false" outlineLevel="0" collapsed="false">
      <c r="K53" s="0" t="str">
        <f aca="false">IF('Campaign Overview'!A49="","",'Campaign Overview'!A49)</f>
        <v/>
      </c>
      <c r="L53" s="0" t="str">
        <f aca="false">IF('Campaign Overview'!A49="","",'Campaign Overview'!B49)</f>
        <v/>
      </c>
      <c r="M53" s="0" t="str">
        <f aca="true">IF('Campaign Overview'!A49="","",COUNTIFS('Raw SmartLead Replies'!A:A,'Campaign Overview'!A49,'Raw SmartLead Replies'!F:F,"&gt;="&amp;TODAY()-7))</f>
        <v/>
      </c>
      <c r="N53" s="0" t="str">
        <f aca="true">IF('Campaign Overview'!A49="","",COUNTIFS('Raw SmartLead Replies'!A:A,'Campaign Overview'!A49,'Raw SmartLead Replies'!G:G,"Interested",'Raw SmartLead Replies'!F:F,"&gt;="&amp;TODAY()-7))</f>
        <v/>
      </c>
      <c r="O53" s="0" t="str">
        <f aca="true">IF('Campaign Overview'!A49="","",COUNTIFS('Raw GHL Data'!C:C,'Campaign Overview'!A49,'Raw GHL Data'!E:E,"&gt;="&amp;TODAY()-7))</f>
        <v/>
      </c>
      <c r="P53" s="0" t="str">
        <f aca="true">IF('Campaign Overview'!A49="","",COUNTIFS('Raw GHL Data'!C:C,'Campaign Overview'!A49,'Raw GHL Data'!H:H,"&gt;="&amp;TODAY()-7))</f>
        <v/>
      </c>
      <c r="Q53" s="21" t="str">
        <f aca="false">IF(OR('Campaign Overview'!A49="",M53=0),"",P53/M53)</f>
        <v/>
      </c>
    </row>
    <row r="54" customFormat="false" ht="15" hidden="false" customHeight="false" outlineLevel="0" collapsed="false">
      <c r="K54" s="0" t="str">
        <f aca="false">IF('Campaign Overview'!A50="","",'Campaign Overview'!A50)</f>
        <v/>
      </c>
      <c r="L54" s="0" t="str">
        <f aca="false">IF('Campaign Overview'!A50="","",'Campaign Overview'!B50)</f>
        <v/>
      </c>
      <c r="M54" s="0" t="str">
        <f aca="true">IF('Campaign Overview'!A50="","",COUNTIFS('Raw SmartLead Replies'!A:A,'Campaign Overview'!A50,'Raw SmartLead Replies'!F:F,"&gt;="&amp;TODAY()-7))</f>
        <v/>
      </c>
      <c r="N54" s="0" t="str">
        <f aca="true">IF('Campaign Overview'!A50="","",COUNTIFS('Raw SmartLead Replies'!A:A,'Campaign Overview'!A50,'Raw SmartLead Replies'!G:G,"Interested",'Raw SmartLead Replies'!F:F,"&gt;="&amp;TODAY()-7))</f>
        <v/>
      </c>
      <c r="O54" s="0" t="str">
        <f aca="true">IF('Campaign Overview'!A50="","",COUNTIFS('Raw GHL Data'!C:C,'Campaign Overview'!A50,'Raw GHL Data'!E:E,"&gt;="&amp;TODAY()-7))</f>
        <v/>
      </c>
      <c r="P54" s="0" t="str">
        <f aca="true">IF('Campaign Overview'!A50="","",COUNTIFS('Raw GHL Data'!C:C,'Campaign Overview'!A50,'Raw GHL Data'!H:H,"&gt;="&amp;TODAY()-7))</f>
        <v/>
      </c>
      <c r="Q54" s="21" t="str">
        <f aca="false">IF(OR('Campaign Overview'!A50="",M54=0),"",P54/M54)</f>
        <v/>
      </c>
    </row>
    <row r="55" customFormat="false" ht="15" hidden="false" customHeight="false" outlineLevel="0" collapsed="false">
      <c r="K55" s="0" t="str">
        <f aca="false">IF('Campaign Overview'!A51="","",'Campaign Overview'!A51)</f>
        <v/>
      </c>
      <c r="L55" s="0" t="str">
        <f aca="false">IF('Campaign Overview'!A51="","",'Campaign Overview'!B51)</f>
        <v/>
      </c>
      <c r="M55" s="0" t="str">
        <f aca="true">IF('Campaign Overview'!A51="","",COUNTIFS('Raw SmartLead Replies'!A:A,'Campaign Overview'!A51,'Raw SmartLead Replies'!F:F,"&gt;="&amp;TODAY()-7))</f>
        <v/>
      </c>
      <c r="N55" s="0" t="str">
        <f aca="true">IF('Campaign Overview'!A51="","",COUNTIFS('Raw SmartLead Replies'!A:A,'Campaign Overview'!A51,'Raw SmartLead Replies'!G:G,"Interested",'Raw SmartLead Replies'!F:F,"&gt;="&amp;TODAY()-7))</f>
        <v/>
      </c>
      <c r="O55" s="0" t="str">
        <f aca="true">IF('Campaign Overview'!A51="","",COUNTIFS('Raw GHL Data'!C:C,'Campaign Overview'!A51,'Raw GHL Data'!E:E,"&gt;="&amp;TODAY()-7))</f>
        <v/>
      </c>
      <c r="P55" s="0" t="str">
        <f aca="true">IF('Campaign Overview'!A51="","",COUNTIFS('Raw GHL Data'!C:C,'Campaign Overview'!A51,'Raw GHL Data'!H:H,"&gt;="&amp;TODAY()-7))</f>
        <v/>
      </c>
      <c r="Q55" s="21" t="str">
        <f aca="false">IF(OR('Campaign Overview'!A51="",M55=0),"",P55/M55)</f>
        <v/>
      </c>
    </row>
    <row r="56" customFormat="false" ht="21.75" hidden="false" customHeight="true" outlineLevel="0" collapsed="false">
      <c r="A56" s="18" t="s">
        <v>91</v>
      </c>
      <c r="B56" s="18"/>
      <c r="C56" s="18"/>
      <c r="D56" s="18"/>
      <c r="E56" s="18"/>
      <c r="F56" s="18"/>
      <c r="G56" s="18"/>
      <c r="H56" s="18"/>
      <c r="K56" s="0" t="str">
        <f aca="false">IF('Campaign Overview'!A52="","",'Campaign Overview'!A52)</f>
        <v/>
      </c>
      <c r="L56" s="0" t="str">
        <f aca="false">IF('Campaign Overview'!A52="","",'Campaign Overview'!B52)</f>
        <v/>
      </c>
      <c r="M56" s="0" t="str">
        <f aca="true">IF('Campaign Overview'!A52="","",COUNTIFS('Raw SmartLead Replies'!A:A,'Campaign Overview'!A52,'Raw SmartLead Replies'!F:F,"&gt;="&amp;TODAY()-7))</f>
        <v/>
      </c>
      <c r="N56" s="0" t="str">
        <f aca="true">IF('Campaign Overview'!A52="","",COUNTIFS('Raw SmartLead Replies'!A:A,'Campaign Overview'!A52,'Raw SmartLead Replies'!G:G,"Interested",'Raw SmartLead Replies'!F:F,"&gt;="&amp;TODAY()-7))</f>
        <v/>
      </c>
      <c r="O56" s="0" t="str">
        <f aca="true">IF('Campaign Overview'!A52="","",COUNTIFS('Raw GHL Data'!C:C,'Campaign Overview'!A52,'Raw GHL Data'!E:E,"&gt;="&amp;TODAY()-7))</f>
        <v/>
      </c>
      <c r="P56" s="0" t="str">
        <f aca="true">IF('Campaign Overview'!A52="","",COUNTIFS('Raw GHL Data'!C:C,'Campaign Overview'!A52,'Raw GHL Data'!H:H,"&gt;="&amp;TODAY()-7))</f>
        <v/>
      </c>
      <c r="Q56" s="21" t="str">
        <f aca="false">IF(OR('Campaign Overview'!A52="",M56=0),"",P56/M56)</f>
        <v/>
      </c>
    </row>
    <row r="57" customFormat="false" ht="30" hidden="false" customHeight="true" outlineLevel="0" collapsed="false">
      <c r="A57" s="19" t="s">
        <v>88</v>
      </c>
      <c r="B57" s="19" t="s">
        <v>41</v>
      </c>
      <c r="C57" s="19" t="s">
        <v>42</v>
      </c>
      <c r="D57" s="19" t="s">
        <v>58</v>
      </c>
      <c r="E57" s="19" t="s">
        <v>89</v>
      </c>
      <c r="F57" s="19" t="s">
        <v>79</v>
      </c>
      <c r="G57" s="19" t="s">
        <v>90</v>
      </c>
      <c r="H57" s="19" t="s">
        <v>83</v>
      </c>
      <c r="K57" s="0" t="str">
        <f aca="false">IF('Campaign Overview'!A53="","",'Campaign Overview'!A53)</f>
        <v/>
      </c>
      <c r="L57" s="0" t="str">
        <f aca="false">IF('Campaign Overview'!A53="","",'Campaign Overview'!B53)</f>
        <v/>
      </c>
      <c r="M57" s="0" t="str">
        <f aca="true">IF('Campaign Overview'!A53="","",COUNTIFS('Raw SmartLead Replies'!A:A,'Campaign Overview'!A53,'Raw SmartLead Replies'!F:F,"&gt;="&amp;TODAY()-7))</f>
        <v/>
      </c>
      <c r="N57" s="0" t="str">
        <f aca="true">IF('Campaign Overview'!A53="","",COUNTIFS('Raw SmartLead Replies'!A:A,'Campaign Overview'!A53,'Raw SmartLead Replies'!G:G,"Interested",'Raw SmartLead Replies'!F:F,"&gt;="&amp;TODAY()-7))</f>
        <v/>
      </c>
      <c r="O57" s="0" t="str">
        <f aca="true">IF('Campaign Overview'!A53="","",COUNTIFS('Raw GHL Data'!C:C,'Campaign Overview'!A53,'Raw GHL Data'!E:E,"&gt;="&amp;TODAY()-7))</f>
        <v/>
      </c>
      <c r="P57" s="0" t="str">
        <f aca="true">IF('Campaign Overview'!A53="","",COUNTIFS('Raw GHL Data'!C:C,'Campaign Overview'!A53,'Raw GHL Data'!H:H,"&gt;="&amp;TODAY()-7))</f>
        <v/>
      </c>
      <c r="Q57" s="21" t="str">
        <f aca="false">IF(OR('Campaign Overview'!A53="",M57=0),"",P57/M57)</f>
        <v/>
      </c>
    </row>
    <row r="58" customFormat="false" ht="15" hidden="false" customHeight="false" outlineLevel="0" collapsed="false">
      <c r="A58" s="0" t="str">
        <f aca="false">IFERROR(arrayformula(IF(LEN(B58:B307),"Past 30 Days","")),"")</f>
        <v/>
      </c>
      <c r="B58" s="0" t="e">
        <f aca="false">IFERROR(filter({K59:K308,L59:L308,M59:M308,N59:N308,O59:O308,P59:P308,Q59:Q308},M59:M308&gt;0,K59:K308&lt;&gt;""),"(no campaigns with activity in this period)")</f>
        <v>#N/A</v>
      </c>
      <c r="K58" s="20" t="s">
        <v>41</v>
      </c>
      <c r="L58" s="20" t="s">
        <v>42</v>
      </c>
      <c r="M58" s="20" t="s">
        <v>58</v>
      </c>
      <c r="N58" s="20" t="s">
        <v>89</v>
      </c>
      <c r="O58" s="20" t="s">
        <v>79</v>
      </c>
      <c r="P58" s="20" t="s">
        <v>90</v>
      </c>
      <c r="Q58" s="22" t="s">
        <v>83</v>
      </c>
    </row>
    <row r="59" customFormat="false" ht="15" hidden="false" customHeight="false" outlineLevel="0" collapsed="false">
      <c r="K59" s="0" t="n">
        <f aca="false">IF('Campaign Overview'!A3="","",'Campaign Overview'!A3)</f>
        <v>3134980</v>
      </c>
      <c r="L59" s="0" t="str">
        <f aca="false">IF('Campaign Overview'!A3="","",'Campaign Overview'!B3)</f>
        <v>60 Day Ads - Bathroom Renovations (USA)</v>
      </c>
      <c r="M59" s="0" t="n">
        <f aca="true">IF('Campaign Overview'!A3="","",COUNTIFS('Raw SmartLead Replies'!A:A,'Campaign Overview'!A3,'Raw SmartLead Replies'!F:F,"&gt;="&amp;TODAY()-30))</f>
        <v>0</v>
      </c>
      <c r="N59" s="0" t="n">
        <f aca="true">IF('Campaign Overview'!A3="","",COUNTIFS('Raw SmartLead Replies'!A:A,'Campaign Overview'!A3,'Raw SmartLead Replies'!G:G,"Interested",'Raw SmartLead Replies'!F:F,"&gt;="&amp;TODAY()-30))</f>
        <v>0</v>
      </c>
      <c r="O59" s="0" t="n">
        <f aca="true">IF('Campaign Overview'!A3="","",COUNTIFS('Raw GHL Data'!C:C,'Campaign Overview'!A3,'Raw GHL Data'!E:E,"&gt;="&amp;TODAY()-30))</f>
        <v>0</v>
      </c>
      <c r="P59" s="0" t="n">
        <f aca="true">IF('Campaign Overview'!A3="","",COUNTIFS('Raw GHL Data'!C:C,'Campaign Overview'!A3,'Raw GHL Data'!H:H,"&gt;="&amp;TODAY()-30))</f>
        <v>0</v>
      </c>
      <c r="Q59" s="21" t="str">
        <f aca="false">IF(OR('Campaign Overview'!A3="",M59=0),"",P59/M59)</f>
        <v/>
      </c>
    </row>
    <row r="60" customFormat="false" ht="15" hidden="false" customHeight="false" outlineLevel="0" collapsed="false">
      <c r="K60" s="0" t="n">
        <f aca="false">IF('Campaign Overview'!A4="","",'Campaign Overview'!A4)</f>
        <v>3134858</v>
      </c>
      <c r="L60" s="0" t="str">
        <f aca="false">IF('Campaign Overview'!A4="","",'Campaign Overview'!B4)</f>
        <v>60 Day Ads - General Construction USA (Tulsa, Tampa, Cincinnati)</v>
      </c>
      <c r="M60" s="0" t="n">
        <f aca="true">IF('Campaign Overview'!A4="","",COUNTIFS('Raw SmartLead Replies'!A:A,'Campaign Overview'!A4,'Raw SmartLead Replies'!F:F,"&gt;="&amp;TODAY()-30))</f>
        <v>0</v>
      </c>
      <c r="N60" s="0" t="n">
        <f aca="true">IF('Campaign Overview'!A4="","",COUNTIFS('Raw SmartLead Replies'!A:A,'Campaign Overview'!A4,'Raw SmartLead Replies'!G:G,"Interested",'Raw SmartLead Replies'!F:F,"&gt;="&amp;TODAY()-30))</f>
        <v>0</v>
      </c>
      <c r="O60" s="0" t="n">
        <f aca="true">IF('Campaign Overview'!A4="","",COUNTIFS('Raw GHL Data'!C:C,'Campaign Overview'!A4,'Raw GHL Data'!E:E,"&gt;="&amp;TODAY()-30))</f>
        <v>0</v>
      </c>
      <c r="P60" s="0" t="n">
        <f aca="true">IF('Campaign Overview'!A4="","",COUNTIFS('Raw GHL Data'!C:C,'Campaign Overview'!A4,'Raw GHL Data'!H:H,"&gt;="&amp;TODAY()-30))</f>
        <v>0</v>
      </c>
      <c r="Q60" s="21" t="str">
        <f aca="false">IF(OR('Campaign Overview'!A4="",M60=0),"",P60/M60)</f>
        <v/>
      </c>
    </row>
    <row r="61" customFormat="false" ht="15" hidden="false" customHeight="false" outlineLevel="0" collapsed="false">
      <c r="K61" s="0" t="n">
        <f aca="false">IF('Campaign Overview'!A5="","",'Campaign Overview'!A5)</f>
        <v>3072412</v>
      </c>
      <c r="L61" s="0" t="str">
        <f aca="false">IF('Campaign Overview'!A5="","",'Campaign Overview'!B5)</f>
        <v>60 Day Ads - Kitchen Renovators (USA)</v>
      </c>
      <c r="M61" s="0" t="n">
        <f aca="true">IF('Campaign Overview'!A5="","",COUNTIFS('Raw SmartLead Replies'!A:A,'Campaign Overview'!A5,'Raw SmartLead Replies'!F:F,"&gt;="&amp;TODAY()-30))</f>
        <v>0</v>
      </c>
      <c r="N61" s="0" t="n">
        <f aca="true">IF('Campaign Overview'!A5="","",COUNTIFS('Raw SmartLead Replies'!A:A,'Campaign Overview'!A5,'Raw SmartLead Replies'!G:G,"Interested",'Raw SmartLead Replies'!F:F,"&gt;="&amp;TODAY()-30))</f>
        <v>0</v>
      </c>
      <c r="O61" s="0" t="n">
        <f aca="true">IF('Campaign Overview'!A5="","",COUNTIFS('Raw GHL Data'!C:C,'Campaign Overview'!A5,'Raw GHL Data'!E:E,"&gt;="&amp;TODAY()-30))</f>
        <v>0</v>
      </c>
      <c r="P61" s="0" t="n">
        <f aca="true">IF('Campaign Overview'!A5="","",COUNTIFS('Raw GHL Data'!C:C,'Campaign Overview'!A5,'Raw GHL Data'!H:H,"&gt;="&amp;TODAY()-30))</f>
        <v>0</v>
      </c>
      <c r="Q61" s="21" t="str">
        <f aca="false">IF(OR('Campaign Overview'!A5="",M61=0),"",P61/M61)</f>
        <v/>
      </c>
    </row>
    <row r="62" customFormat="false" ht="15" hidden="false" customHeight="false" outlineLevel="0" collapsed="false">
      <c r="K62" s="0" t="n">
        <f aca="false">IF('Campaign Overview'!A6="","",'Campaign Overview'!A6)</f>
        <v>3043415</v>
      </c>
      <c r="L62" s="0" t="str">
        <f aca="false">IF('Campaign Overview'!A6="","",'Campaign Overview'!B6)</f>
        <v>60 Day Ads Offer - USA (LA, Detroit, Colorado Springs) - copy</v>
      </c>
      <c r="M62" s="0" t="n">
        <f aca="true">IF('Campaign Overview'!A6="","",COUNTIFS('Raw SmartLead Replies'!A:A,'Campaign Overview'!A6,'Raw SmartLead Replies'!F:F,"&gt;="&amp;TODAY()-30))</f>
        <v>0</v>
      </c>
      <c r="N62" s="0" t="n">
        <f aca="true">IF('Campaign Overview'!A6="","",COUNTIFS('Raw SmartLead Replies'!A:A,'Campaign Overview'!A6,'Raw SmartLead Replies'!G:G,"Interested",'Raw SmartLead Replies'!F:F,"&gt;="&amp;TODAY()-30))</f>
        <v>0</v>
      </c>
      <c r="O62" s="0" t="n">
        <f aca="true">IF('Campaign Overview'!A6="","",COUNTIFS('Raw GHL Data'!C:C,'Campaign Overview'!A6,'Raw GHL Data'!E:E,"&gt;="&amp;TODAY()-30))</f>
        <v>0</v>
      </c>
      <c r="P62" s="0" t="n">
        <f aca="true">IF('Campaign Overview'!A6="","",COUNTIFS('Raw GHL Data'!C:C,'Campaign Overview'!A6,'Raw GHL Data'!H:H,"&gt;="&amp;TODAY()-30))</f>
        <v>0</v>
      </c>
      <c r="Q62" s="21" t="str">
        <f aca="false">IF(OR('Campaign Overview'!A6="",M62=0),"",P62/M62)</f>
        <v/>
      </c>
    </row>
    <row r="63" customFormat="false" ht="15" hidden="false" customHeight="false" outlineLevel="0" collapsed="false">
      <c r="K63" s="0" t="n">
        <f aca="false">IF('Campaign Overview'!A7="","",'Campaign Overview'!A7)</f>
        <v>2978732</v>
      </c>
      <c r="L63" s="0" t="str">
        <f aca="false">IF('Campaign Overview'!A7="","",'Campaign Overview'!B7)</f>
        <v>Huge USA Lead List - 60 Day Ads Offer (Xander)</v>
      </c>
      <c r="M63" s="0" t="n">
        <f aca="true">IF('Campaign Overview'!A7="","",COUNTIFS('Raw SmartLead Replies'!A:A,'Campaign Overview'!A7,'Raw SmartLead Replies'!F:F,"&gt;="&amp;TODAY()-30))</f>
        <v>0</v>
      </c>
      <c r="N63" s="0" t="n">
        <f aca="true">IF('Campaign Overview'!A7="","",COUNTIFS('Raw SmartLead Replies'!A:A,'Campaign Overview'!A7,'Raw SmartLead Replies'!G:G,"Interested",'Raw SmartLead Replies'!F:F,"&gt;="&amp;TODAY()-30))</f>
        <v>0</v>
      </c>
      <c r="O63" s="0" t="n">
        <f aca="true">IF('Campaign Overview'!A7="","",COUNTIFS('Raw GHL Data'!C:C,'Campaign Overview'!A7,'Raw GHL Data'!E:E,"&gt;="&amp;TODAY()-30))</f>
        <v>0</v>
      </c>
      <c r="P63" s="0" t="n">
        <f aca="true">IF('Campaign Overview'!A7="","",COUNTIFS('Raw GHL Data'!C:C,'Campaign Overview'!A7,'Raw GHL Data'!H:H,"&gt;="&amp;TODAY()-30))</f>
        <v>0</v>
      </c>
      <c r="Q63" s="21" t="str">
        <f aca="false">IF(OR('Campaign Overview'!A7="",M63=0),"",P63/M63)</f>
        <v/>
      </c>
    </row>
    <row r="64" customFormat="false" ht="15" hidden="false" customHeight="false" outlineLevel="0" collapsed="false">
      <c r="K64" s="0" t="str">
        <f aca="false">IF('Campaign Overview'!A8="","",'Campaign Overview'!A8)</f>
        <v/>
      </c>
      <c r="L64" s="0" t="str">
        <f aca="false">IF('Campaign Overview'!A8="","",'Campaign Overview'!B8)</f>
        <v/>
      </c>
      <c r="M64" s="0" t="str">
        <f aca="true">IF('Campaign Overview'!A8="","",COUNTIFS('Raw SmartLead Replies'!A:A,'Campaign Overview'!A8,'Raw SmartLead Replies'!F:F,"&gt;="&amp;TODAY()-30))</f>
        <v/>
      </c>
      <c r="N64" s="0" t="str">
        <f aca="true">IF('Campaign Overview'!A8="","",COUNTIFS('Raw SmartLead Replies'!A:A,'Campaign Overview'!A8,'Raw SmartLead Replies'!G:G,"Interested",'Raw SmartLead Replies'!F:F,"&gt;="&amp;TODAY()-30))</f>
        <v/>
      </c>
      <c r="O64" s="0" t="str">
        <f aca="true">IF('Campaign Overview'!A8="","",COUNTIFS('Raw GHL Data'!C:C,'Campaign Overview'!A8,'Raw GHL Data'!E:E,"&gt;="&amp;TODAY()-30))</f>
        <v/>
      </c>
      <c r="P64" s="0" t="str">
        <f aca="true">IF('Campaign Overview'!A8="","",COUNTIFS('Raw GHL Data'!C:C,'Campaign Overview'!A8,'Raw GHL Data'!H:H,"&gt;="&amp;TODAY()-30))</f>
        <v/>
      </c>
      <c r="Q64" s="21" t="str">
        <f aca="false">IF(OR('Campaign Overview'!A8="",M64=0),"",P64/M64)</f>
        <v/>
      </c>
    </row>
    <row r="65" customFormat="false" ht="15" hidden="false" customHeight="false" outlineLevel="0" collapsed="false">
      <c r="K65" s="0" t="str">
        <f aca="false">IF('Campaign Overview'!A9="","",'Campaign Overview'!A9)</f>
        <v/>
      </c>
      <c r="L65" s="0" t="str">
        <f aca="false">IF('Campaign Overview'!A9="","",'Campaign Overview'!B9)</f>
        <v/>
      </c>
      <c r="M65" s="0" t="str">
        <f aca="true">IF('Campaign Overview'!A9="","",COUNTIFS('Raw SmartLead Replies'!A:A,'Campaign Overview'!A9,'Raw SmartLead Replies'!F:F,"&gt;="&amp;TODAY()-30))</f>
        <v/>
      </c>
      <c r="N65" s="0" t="str">
        <f aca="true">IF('Campaign Overview'!A9="","",COUNTIFS('Raw SmartLead Replies'!A:A,'Campaign Overview'!A9,'Raw SmartLead Replies'!G:G,"Interested",'Raw SmartLead Replies'!F:F,"&gt;="&amp;TODAY()-30))</f>
        <v/>
      </c>
      <c r="O65" s="0" t="str">
        <f aca="true">IF('Campaign Overview'!A9="","",COUNTIFS('Raw GHL Data'!C:C,'Campaign Overview'!A9,'Raw GHL Data'!E:E,"&gt;="&amp;TODAY()-30))</f>
        <v/>
      </c>
      <c r="P65" s="0" t="str">
        <f aca="true">IF('Campaign Overview'!A9="","",COUNTIFS('Raw GHL Data'!C:C,'Campaign Overview'!A9,'Raw GHL Data'!H:H,"&gt;="&amp;TODAY()-30))</f>
        <v/>
      </c>
      <c r="Q65" s="21" t="str">
        <f aca="false">IF(OR('Campaign Overview'!A9="",M65=0),"",P65/M65)</f>
        <v/>
      </c>
    </row>
    <row r="66" customFormat="false" ht="15" hidden="false" customHeight="false" outlineLevel="0" collapsed="false">
      <c r="K66" s="0" t="str">
        <f aca="false">IF('Campaign Overview'!A10="","",'Campaign Overview'!A10)</f>
        <v/>
      </c>
      <c r="L66" s="0" t="str">
        <f aca="false">IF('Campaign Overview'!A10="","",'Campaign Overview'!B10)</f>
        <v/>
      </c>
      <c r="M66" s="0" t="str">
        <f aca="true">IF('Campaign Overview'!A10="","",COUNTIFS('Raw SmartLead Replies'!A:A,'Campaign Overview'!A10,'Raw SmartLead Replies'!F:F,"&gt;="&amp;TODAY()-30))</f>
        <v/>
      </c>
      <c r="N66" s="0" t="str">
        <f aca="true">IF('Campaign Overview'!A10="","",COUNTIFS('Raw SmartLead Replies'!A:A,'Campaign Overview'!A10,'Raw SmartLead Replies'!G:G,"Interested",'Raw SmartLead Replies'!F:F,"&gt;="&amp;TODAY()-30))</f>
        <v/>
      </c>
      <c r="O66" s="0" t="str">
        <f aca="true">IF('Campaign Overview'!A10="","",COUNTIFS('Raw GHL Data'!C:C,'Campaign Overview'!A10,'Raw GHL Data'!E:E,"&gt;="&amp;TODAY()-30))</f>
        <v/>
      </c>
      <c r="P66" s="0" t="str">
        <f aca="true">IF('Campaign Overview'!A10="","",COUNTIFS('Raw GHL Data'!C:C,'Campaign Overview'!A10,'Raw GHL Data'!H:H,"&gt;="&amp;TODAY()-30))</f>
        <v/>
      </c>
      <c r="Q66" s="21" t="str">
        <f aca="false">IF(OR('Campaign Overview'!A10="",M66=0),"",P66/M66)</f>
        <v/>
      </c>
    </row>
    <row r="67" customFormat="false" ht="15" hidden="false" customHeight="false" outlineLevel="0" collapsed="false">
      <c r="K67" s="0" t="str">
        <f aca="false">IF('Campaign Overview'!A11="","",'Campaign Overview'!A11)</f>
        <v/>
      </c>
      <c r="L67" s="0" t="str">
        <f aca="false">IF('Campaign Overview'!A11="","",'Campaign Overview'!B11)</f>
        <v/>
      </c>
      <c r="M67" s="0" t="str">
        <f aca="true">IF('Campaign Overview'!A11="","",COUNTIFS('Raw SmartLead Replies'!A:A,'Campaign Overview'!A11,'Raw SmartLead Replies'!F:F,"&gt;="&amp;TODAY()-30))</f>
        <v/>
      </c>
      <c r="N67" s="0" t="str">
        <f aca="true">IF('Campaign Overview'!A11="","",COUNTIFS('Raw SmartLead Replies'!A:A,'Campaign Overview'!A11,'Raw SmartLead Replies'!G:G,"Interested",'Raw SmartLead Replies'!F:F,"&gt;="&amp;TODAY()-30))</f>
        <v/>
      </c>
      <c r="O67" s="0" t="str">
        <f aca="true">IF('Campaign Overview'!A11="","",COUNTIFS('Raw GHL Data'!C:C,'Campaign Overview'!A11,'Raw GHL Data'!E:E,"&gt;="&amp;TODAY()-30))</f>
        <v/>
      </c>
      <c r="P67" s="0" t="str">
        <f aca="true">IF('Campaign Overview'!A11="","",COUNTIFS('Raw GHL Data'!C:C,'Campaign Overview'!A11,'Raw GHL Data'!H:H,"&gt;="&amp;TODAY()-30))</f>
        <v/>
      </c>
      <c r="Q67" s="21" t="str">
        <f aca="false">IF(OR('Campaign Overview'!A11="",M67=0),"",P67/M67)</f>
        <v/>
      </c>
    </row>
    <row r="68" customFormat="false" ht="15" hidden="false" customHeight="false" outlineLevel="0" collapsed="false">
      <c r="K68" s="0" t="str">
        <f aca="false">IF('Campaign Overview'!A12="","",'Campaign Overview'!A12)</f>
        <v/>
      </c>
      <c r="L68" s="0" t="str">
        <f aca="false">IF('Campaign Overview'!A12="","",'Campaign Overview'!B12)</f>
        <v/>
      </c>
      <c r="M68" s="0" t="str">
        <f aca="true">IF('Campaign Overview'!A12="","",COUNTIFS('Raw SmartLead Replies'!A:A,'Campaign Overview'!A12,'Raw SmartLead Replies'!F:F,"&gt;="&amp;TODAY()-30))</f>
        <v/>
      </c>
      <c r="N68" s="0" t="str">
        <f aca="true">IF('Campaign Overview'!A12="","",COUNTIFS('Raw SmartLead Replies'!A:A,'Campaign Overview'!A12,'Raw SmartLead Replies'!G:G,"Interested",'Raw SmartLead Replies'!F:F,"&gt;="&amp;TODAY()-30))</f>
        <v/>
      </c>
      <c r="O68" s="0" t="str">
        <f aca="true">IF('Campaign Overview'!A12="","",COUNTIFS('Raw GHL Data'!C:C,'Campaign Overview'!A12,'Raw GHL Data'!E:E,"&gt;="&amp;TODAY()-30))</f>
        <v/>
      </c>
      <c r="P68" s="0" t="str">
        <f aca="true">IF('Campaign Overview'!A12="","",COUNTIFS('Raw GHL Data'!C:C,'Campaign Overview'!A12,'Raw GHL Data'!H:H,"&gt;="&amp;TODAY()-30))</f>
        <v/>
      </c>
      <c r="Q68" s="21" t="str">
        <f aca="false">IF(OR('Campaign Overview'!A12="",M68=0),"",P68/M68)</f>
        <v/>
      </c>
    </row>
    <row r="69" customFormat="false" ht="15" hidden="false" customHeight="false" outlineLevel="0" collapsed="false">
      <c r="K69" s="0" t="str">
        <f aca="false">IF('Campaign Overview'!A13="","",'Campaign Overview'!A13)</f>
        <v/>
      </c>
      <c r="L69" s="0" t="str">
        <f aca="false">IF('Campaign Overview'!A13="","",'Campaign Overview'!B13)</f>
        <v/>
      </c>
      <c r="M69" s="0" t="str">
        <f aca="true">IF('Campaign Overview'!A13="","",COUNTIFS('Raw SmartLead Replies'!A:A,'Campaign Overview'!A13,'Raw SmartLead Replies'!F:F,"&gt;="&amp;TODAY()-30))</f>
        <v/>
      </c>
      <c r="N69" s="0" t="str">
        <f aca="true">IF('Campaign Overview'!A13="","",COUNTIFS('Raw SmartLead Replies'!A:A,'Campaign Overview'!A13,'Raw SmartLead Replies'!G:G,"Interested",'Raw SmartLead Replies'!F:F,"&gt;="&amp;TODAY()-30))</f>
        <v/>
      </c>
      <c r="O69" s="0" t="str">
        <f aca="true">IF('Campaign Overview'!A13="","",COUNTIFS('Raw GHL Data'!C:C,'Campaign Overview'!A13,'Raw GHL Data'!E:E,"&gt;="&amp;TODAY()-30))</f>
        <v/>
      </c>
      <c r="P69" s="0" t="str">
        <f aca="true">IF('Campaign Overview'!A13="","",COUNTIFS('Raw GHL Data'!C:C,'Campaign Overview'!A13,'Raw GHL Data'!H:H,"&gt;="&amp;TODAY()-30))</f>
        <v/>
      </c>
      <c r="Q69" s="21" t="str">
        <f aca="false">IF(OR('Campaign Overview'!A13="",M69=0),"",P69/M69)</f>
        <v/>
      </c>
    </row>
    <row r="70" customFormat="false" ht="15" hidden="false" customHeight="false" outlineLevel="0" collapsed="false">
      <c r="K70" s="0" t="str">
        <f aca="false">IF('Campaign Overview'!A14="","",'Campaign Overview'!A14)</f>
        <v/>
      </c>
      <c r="L70" s="0" t="str">
        <f aca="false">IF('Campaign Overview'!A14="","",'Campaign Overview'!B14)</f>
        <v/>
      </c>
      <c r="M70" s="0" t="str">
        <f aca="true">IF('Campaign Overview'!A14="","",COUNTIFS('Raw SmartLead Replies'!A:A,'Campaign Overview'!A14,'Raw SmartLead Replies'!F:F,"&gt;="&amp;TODAY()-30))</f>
        <v/>
      </c>
      <c r="N70" s="0" t="str">
        <f aca="true">IF('Campaign Overview'!A14="","",COUNTIFS('Raw SmartLead Replies'!A:A,'Campaign Overview'!A14,'Raw SmartLead Replies'!G:G,"Interested",'Raw SmartLead Replies'!F:F,"&gt;="&amp;TODAY()-30))</f>
        <v/>
      </c>
      <c r="O70" s="0" t="str">
        <f aca="true">IF('Campaign Overview'!A14="","",COUNTIFS('Raw GHL Data'!C:C,'Campaign Overview'!A14,'Raw GHL Data'!E:E,"&gt;="&amp;TODAY()-30))</f>
        <v/>
      </c>
      <c r="P70" s="0" t="str">
        <f aca="true">IF('Campaign Overview'!A14="","",COUNTIFS('Raw GHL Data'!C:C,'Campaign Overview'!A14,'Raw GHL Data'!H:H,"&gt;="&amp;TODAY()-30))</f>
        <v/>
      </c>
      <c r="Q70" s="21" t="str">
        <f aca="false">IF(OR('Campaign Overview'!A14="",M70=0),"",P70/M70)</f>
        <v/>
      </c>
    </row>
    <row r="71" customFormat="false" ht="15" hidden="false" customHeight="false" outlineLevel="0" collapsed="false">
      <c r="K71" s="0" t="str">
        <f aca="false">IF('Campaign Overview'!A15="","",'Campaign Overview'!A15)</f>
        <v/>
      </c>
      <c r="L71" s="0" t="str">
        <f aca="false">IF('Campaign Overview'!A15="","",'Campaign Overview'!B15)</f>
        <v/>
      </c>
      <c r="M71" s="0" t="str">
        <f aca="true">IF('Campaign Overview'!A15="","",COUNTIFS('Raw SmartLead Replies'!A:A,'Campaign Overview'!A15,'Raw SmartLead Replies'!F:F,"&gt;="&amp;TODAY()-30))</f>
        <v/>
      </c>
      <c r="N71" s="0" t="str">
        <f aca="true">IF('Campaign Overview'!A15="","",COUNTIFS('Raw SmartLead Replies'!A:A,'Campaign Overview'!A15,'Raw SmartLead Replies'!G:G,"Interested",'Raw SmartLead Replies'!F:F,"&gt;="&amp;TODAY()-30))</f>
        <v/>
      </c>
      <c r="O71" s="0" t="str">
        <f aca="true">IF('Campaign Overview'!A15="","",COUNTIFS('Raw GHL Data'!C:C,'Campaign Overview'!A15,'Raw GHL Data'!E:E,"&gt;="&amp;TODAY()-30))</f>
        <v/>
      </c>
      <c r="P71" s="0" t="str">
        <f aca="true">IF('Campaign Overview'!A15="","",COUNTIFS('Raw GHL Data'!C:C,'Campaign Overview'!A15,'Raw GHL Data'!H:H,"&gt;="&amp;TODAY()-30))</f>
        <v/>
      </c>
      <c r="Q71" s="21" t="str">
        <f aca="false">IF(OR('Campaign Overview'!A15="",M71=0),"",P71/M71)</f>
        <v/>
      </c>
    </row>
    <row r="72" customFormat="false" ht="15" hidden="false" customHeight="false" outlineLevel="0" collapsed="false">
      <c r="K72" s="0" t="str">
        <f aca="false">IF('Campaign Overview'!A16="","",'Campaign Overview'!A16)</f>
        <v/>
      </c>
      <c r="L72" s="0" t="str">
        <f aca="false">IF('Campaign Overview'!A16="","",'Campaign Overview'!B16)</f>
        <v/>
      </c>
      <c r="M72" s="0" t="str">
        <f aca="true">IF('Campaign Overview'!A16="","",COUNTIFS('Raw SmartLead Replies'!A:A,'Campaign Overview'!A16,'Raw SmartLead Replies'!F:F,"&gt;="&amp;TODAY()-30))</f>
        <v/>
      </c>
      <c r="N72" s="0" t="str">
        <f aca="true">IF('Campaign Overview'!A16="","",COUNTIFS('Raw SmartLead Replies'!A:A,'Campaign Overview'!A16,'Raw SmartLead Replies'!G:G,"Interested",'Raw SmartLead Replies'!F:F,"&gt;="&amp;TODAY()-30))</f>
        <v/>
      </c>
      <c r="O72" s="0" t="str">
        <f aca="true">IF('Campaign Overview'!A16="","",COUNTIFS('Raw GHL Data'!C:C,'Campaign Overview'!A16,'Raw GHL Data'!E:E,"&gt;="&amp;TODAY()-30))</f>
        <v/>
      </c>
      <c r="P72" s="0" t="str">
        <f aca="true">IF('Campaign Overview'!A16="","",COUNTIFS('Raw GHL Data'!C:C,'Campaign Overview'!A16,'Raw GHL Data'!H:H,"&gt;="&amp;TODAY()-30))</f>
        <v/>
      </c>
      <c r="Q72" s="21" t="str">
        <f aca="false">IF(OR('Campaign Overview'!A16="",M72=0),"",P72/M72)</f>
        <v/>
      </c>
    </row>
    <row r="73" customFormat="false" ht="15" hidden="false" customHeight="false" outlineLevel="0" collapsed="false">
      <c r="K73" s="0" t="str">
        <f aca="false">IF('Campaign Overview'!A17="","",'Campaign Overview'!A17)</f>
        <v/>
      </c>
      <c r="L73" s="0" t="str">
        <f aca="false">IF('Campaign Overview'!A17="","",'Campaign Overview'!B17)</f>
        <v/>
      </c>
      <c r="M73" s="0" t="str">
        <f aca="true">IF('Campaign Overview'!A17="","",COUNTIFS('Raw SmartLead Replies'!A:A,'Campaign Overview'!A17,'Raw SmartLead Replies'!F:F,"&gt;="&amp;TODAY()-30))</f>
        <v/>
      </c>
      <c r="N73" s="0" t="str">
        <f aca="true">IF('Campaign Overview'!A17="","",COUNTIFS('Raw SmartLead Replies'!A:A,'Campaign Overview'!A17,'Raw SmartLead Replies'!G:G,"Interested",'Raw SmartLead Replies'!F:F,"&gt;="&amp;TODAY()-30))</f>
        <v/>
      </c>
      <c r="O73" s="0" t="str">
        <f aca="true">IF('Campaign Overview'!A17="","",COUNTIFS('Raw GHL Data'!C:C,'Campaign Overview'!A17,'Raw GHL Data'!E:E,"&gt;="&amp;TODAY()-30))</f>
        <v/>
      </c>
      <c r="P73" s="0" t="str">
        <f aca="true">IF('Campaign Overview'!A17="","",COUNTIFS('Raw GHL Data'!C:C,'Campaign Overview'!A17,'Raw GHL Data'!H:H,"&gt;="&amp;TODAY()-30))</f>
        <v/>
      </c>
      <c r="Q73" s="21" t="str">
        <f aca="false">IF(OR('Campaign Overview'!A17="",M73=0),"",P73/M73)</f>
        <v/>
      </c>
    </row>
    <row r="74" customFormat="false" ht="15" hidden="false" customHeight="false" outlineLevel="0" collapsed="false">
      <c r="K74" s="0" t="str">
        <f aca="false">IF('Campaign Overview'!A18="","",'Campaign Overview'!A18)</f>
        <v/>
      </c>
      <c r="L74" s="0" t="str">
        <f aca="false">IF('Campaign Overview'!A18="","",'Campaign Overview'!B18)</f>
        <v/>
      </c>
      <c r="M74" s="0" t="str">
        <f aca="true">IF('Campaign Overview'!A18="","",COUNTIFS('Raw SmartLead Replies'!A:A,'Campaign Overview'!A18,'Raw SmartLead Replies'!F:F,"&gt;="&amp;TODAY()-30))</f>
        <v/>
      </c>
      <c r="N74" s="0" t="str">
        <f aca="true">IF('Campaign Overview'!A18="","",COUNTIFS('Raw SmartLead Replies'!A:A,'Campaign Overview'!A18,'Raw SmartLead Replies'!G:G,"Interested",'Raw SmartLead Replies'!F:F,"&gt;="&amp;TODAY()-30))</f>
        <v/>
      </c>
      <c r="O74" s="0" t="str">
        <f aca="true">IF('Campaign Overview'!A18="","",COUNTIFS('Raw GHL Data'!C:C,'Campaign Overview'!A18,'Raw GHL Data'!E:E,"&gt;="&amp;TODAY()-30))</f>
        <v/>
      </c>
      <c r="P74" s="0" t="str">
        <f aca="true">IF('Campaign Overview'!A18="","",COUNTIFS('Raw GHL Data'!C:C,'Campaign Overview'!A18,'Raw GHL Data'!H:H,"&gt;="&amp;TODAY()-30))</f>
        <v/>
      </c>
      <c r="Q74" s="21" t="str">
        <f aca="false">IF(OR('Campaign Overview'!A18="",M74=0),"",P74/M74)</f>
        <v/>
      </c>
    </row>
    <row r="75" customFormat="false" ht="15" hidden="false" customHeight="false" outlineLevel="0" collapsed="false">
      <c r="K75" s="0" t="str">
        <f aca="false">IF('Campaign Overview'!A19="","",'Campaign Overview'!A19)</f>
        <v/>
      </c>
      <c r="L75" s="0" t="str">
        <f aca="false">IF('Campaign Overview'!A19="","",'Campaign Overview'!B19)</f>
        <v/>
      </c>
      <c r="M75" s="0" t="str">
        <f aca="true">IF('Campaign Overview'!A19="","",COUNTIFS('Raw SmartLead Replies'!A:A,'Campaign Overview'!A19,'Raw SmartLead Replies'!F:F,"&gt;="&amp;TODAY()-30))</f>
        <v/>
      </c>
      <c r="N75" s="0" t="str">
        <f aca="true">IF('Campaign Overview'!A19="","",COUNTIFS('Raw SmartLead Replies'!A:A,'Campaign Overview'!A19,'Raw SmartLead Replies'!G:G,"Interested",'Raw SmartLead Replies'!F:F,"&gt;="&amp;TODAY()-30))</f>
        <v/>
      </c>
      <c r="O75" s="0" t="str">
        <f aca="true">IF('Campaign Overview'!A19="","",COUNTIFS('Raw GHL Data'!C:C,'Campaign Overview'!A19,'Raw GHL Data'!E:E,"&gt;="&amp;TODAY()-30))</f>
        <v/>
      </c>
      <c r="P75" s="0" t="str">
        <f aca="true">IF('Campaign Overview'!A19="","",COUNTIFS('Raw GHL Data'!C:C,'Campaign Overview'!A19,'Raw GHL Data'!H:H,"&gt;="&amp;TODAY()-30))</f>
        <v/>
      </c>
      <c r="Q75" s="21" t="str">
        <f aca="false">IF(OR('Campaign Overview'!A19="",M75=0),"",P75/M75)</f>
        <v/>
      </c>
    </row>
    <row r="76" customFormat="false" ht="15" hidden="false" customHeight="false" outlineLevel="0" collapsed="false">
      <c r="K76" s="0" t="str">
        <f aca="false">IF('Campaign Overview'!A20="","",'Campaign Overview'!A20)</f>
        <v/>
      </c>
      <c r="L76" s="0" t="str">
        <f aca="false">IF('Campaign Overview'!A20="","",'Campaign Overview'!B20)</f>
        <v/>
      </c>
      <c r="M76" s="0" t="str">
        <f aca="true">IF('Campaign Overview'!A20="","",COUNTIFS('Raw SmartLead Replies'!A:A,'Campaign Overview'!A20,'Raw SmartLead Replies'!F:F,"&gt;="&amp;TODAY()-30))</f>
        <v/>
      </c>
      <c r="N76" s="0" t="str">
        <f aca="true">IF('Campaign Overview'!A20="","",COUNTIFS('Raw SmartLead Replies'!A:A,'Campaign Overview'!A20,'Raw SmartLead Replies'!G:G,"Interested",'Raw SmartLead Replies'!F:F,"&gt;="&amp;TODAY()-30))</f>
        <v/>
      </c>
      <c r="O76" s="0" t="str">
        <f aca="true">IF('Campaign Overview'!A20="","",COUNTIFS('Raw GHL Data'!C:C,'Campaign Overview'!A20,'Raw GHL Data'!E:E,"&gt;="&amp;TODAY()-30))</f>
        <v/>
      </c>
      <c r="P76" s="0" t="str">
        <f aca="true">IF('Campaign Overview'!A20="","",COUNTIFS('Raw GHL Data'!C:C,'Campaign Overview'!A20,'Raw GHL Data'!H:H,"&gt;="&amp;TODAY()-30))</f>
        <v/>
      </c>
      <c r="Q76" s="21" t="str">
        <f aca="false">IF(OR('Campaign Overview'!A20="",M76=0),"",P76/M76)</f>
        <v/>
      </c>
    </row>
    <row r="77" customFormat="false" ht="15" hidden="false" customHeight="false" outlineLevel="0" collapsed="false">
      <c r="K77" s="0" t="str">
        <f aca="false">IF('Campaign Overview'!A21="","",'Campaign Overview'!A21)</f>
        <v/>
      </c>
      <c r="L77" s="0" t="str">
        <f aca="false">IF('Campaign Overview'!A21="","",'Campaign Overview'!B21)</f>
        <v/>
      </c>
      <c r="M77" s="0" t="str">
        <f aca="true">IF('Campaign Overview'!A21="","",COUNTIFS('Raw SmartLead Replies'!A:A,'Campaign Overview'!A21,'Raw SmartLead Replies'!F:F,"&gt;="&amp;TODAY()-30))</f>
        <v/>
      </c>
      <c r="N77" s="0" t="str">
        <f aca="true">IF('Campaign Overview'!A21="","",COUNTIFS('Raw SmartLead Replies'!A:A,'Campaign Overview'!A21,'Raw SmartLead Replies'!G:G,"Interested",'Raw SmartLead Replies'!F:F,"&gt;="&amp;TODAY()-30))</f>
        <v/>
      </c>
      <c r="O77" s="0" t="str">
        <f aca="true">IF('Campaign Overview'!A21="","",COUNTIFS('Raw GHL Data'!C:C,'Campaign Overview'!A21,'Raw GHL Data'!E:E,"&gt;="&amp;TODAY()-30))</f>
        <v/>
      </c>
      <c r="P77" s="0" t="str">
        <f aca="true">IF('Campaign Overview'!A21="","",COUNTIFS('Raw GHL Data'!C:C,'Campaign Overview'!A21,'Raw GHL Data'!H:H,"&gt;="&amp;TODAY()-30))</f>
        <v/>
      </c>
      <c r="Q77" s="21" t="str">
        <f aca="false">IF(OR('Campaign Overview'!A21="",M77=0),"",P77/M77)</f>
        <v/>
      </c>
    </row>
    <row r="78" customFormat="false" ht="15" hidden="false" customHeight="false" outlineLevel="0" collapsed="false">
      <c r="K78" s="0" t="str">
        <f aca="false">IF('Campaign Overview'!A22="","",'Campaign Overview'!A22)</f>
        <v/>
      </c>
      <c r="L78" s="0" t="str">
        <f aca="false">IF('Campaign Overview'!A22="","",'Campaign Overview'!B22)</f>
        <v/>
      </c>
      <c r="M78" s="0" t="str">
        <f aca="true">IF('Campaign Overview'!A22="","",COUNTIFS('Raw SmartLead Replies'!A:A,'Campaign Overview'!A22,'Raw SmartLead Replies'!F:F,"&gt;="&amp;TODAY()-30))</f>
        <v/>
      </c>
      <c r="N78" s="0" t="str">
        <f aca="true">IF('Campaign Overview'!A22="","",COUNTIFS('Raw SmartLead Replies'!A:A,'Campaign Overview'!A22,'Raw SmartLead Replies'!G:G,"Interested",'Raw SmartLead Replies'!F:F,"&gt;="&amp;TODAY()-30))</f>
        <v/>
      </c>
      <c r="O78" s="0" t="str">
        <f aca="true">IF('Campaign Overview'!A22="","",COUNTIFS('Raw GHL Data'!C:C,'Campaign Overview'!A22,'Raw GHL Data'!E:E,"&gt;="&amp;TODAY()-30))</f>
        <v/>
      </c>
      <c r="P78" s="0" t="str">
        <f aca="true">IF('Campaign Overview'!A22="","",COUNTIFS('Raw GHL Data'!C:C,'Campaign Overview'!A22,'Raw GHL Data'!H:H,"&gt;="&amp;TODAY()-30))</f>
        <v/>
      </c>
      <c r="Q78" s="21" t="str">
        <f aca="false">IF(OR('Campaign Overview'!A22="",M78=0),"",P78/M78)</f>
        <v/>
      </c>
    </row>
    <row r="79" customFormat="false" ht="15" hidden="false" customHeight="false" outlineLevel="0" collapsed="false">
      <c r="K79" s="0" t="str">
        <f aca="false">IF('Campaign Overview'!A23="","",'Campaign Overview'!A23)</f>
        <v/>
      </c>
      <c r="L79" s="0" t="str">
        <f aca="false">IF('Campaign Overview'!A23="","",'Campaign Overview'!B23)</f>
        <v/>
      </c>
      <c r="M79" s="0" t="str">
        <f aca="true">IF('Campaign Overview'!A23="","",COUNTIFS('Raw SmartLead Replies'!A:A,'Campaign Overview'!A23,'Raw SmartLead Replies'!F:F,"&gt;="&amp;TODAY()-30))</f>
        <v/>
      </c>
      <c r="N79" s="0" t="str">
        <f aca="true">IF('Campaign Overview'!A23="","",COUNTIFS('Raw SmartLead Replies'!A:A,'Campaign Overview'!A23,'Raw SmartLead Replies'!G:G,"Interested",'Raw SmartLead Replies'!F:F,"&gt;="&amp;TODAY()-30))</f>
        <v/>
      </c>
      <c r="O79" s="0" t="str">
        <f aca="true">IF('Campaign Overview'!A23="","",COUNTIFS('Raw GHL Data'!C:C,'Campaign Overview'!A23,'Raw GHL Data'!E:E,"&gt;="&amp;TODAY()-30))</f>
        <v/>
      </c>
      <c r="P79" s="0" t="str">
        <f aca="true">IF('Campaign Overview'!A23="","",COUNTIFS('Raw GHL Data'!C:C,'Campaign Overview'!A23,'Raw GHL Data'!H:H,"&gt;="&amp;TODAY()-30))</f>
        <v/>
      </c>
      <c r="Q79" s="21" t="str">
        <f aca="false">IF(OR('Campaign Overview'!A23="",M79=0),"",P79/M79)</f>
        <v/>
      </c>
    </row>
    <row r="80" customFormat="false" ht="15" hidden="false" customHeight="false" outlineLevel="0" collapsed="false">
      <c r="K80" s="0" t="str">
        <f aca="false">IF('Campaign Overview'!A24="","",'Campaign Overview'!A24)</f>
        <v/>
      </c>
      <c r="L80" s="0" t="str">
        <f aca="false">IF('Campaign Overview'!A24="","",'Campaign Overview'!B24)</f>
        <v/>
      </c>
      <c r="M80" s="0" t="str">
        <f aca="true">IF('Campaign Overview'!A24="","",COUNTIFS('Raw SmartLead Replies'!A:A,'Campaign Overview'!A24,'Raw SmartLead Replies'!F:F,"&gt;="&amp;TODAY()-30))</f>
        <v/>
      </c>
      <c r="N80" s="0" t="str">
        <f aca="true">IF('Campaign Overview'!A24="","",COUNTIFS('Raw SmartLead Replies'!A:A,'Campaign Overview'!A24,'Raw SmartLead Replies'!G:G,"Interested",'Raw SmartLead Replies'!F:F,"&gt;="&amp;TODAY()-30))</f>
        <v/>
      </c>
      <c r="O80" s="0" t="str">
        <f aca="true">IF('Campaign Overview'!A24="","",COUNTIFS('Raw GHL Data'!C:C,'Campaign Overview'!A24,'Raw GHL Data'!E:E,"&gt;="&amp;TODAY()-30))</f>
        <v/>
      </c>
      <c r="P80" s="0" t="str">
        <f aca="true">IF('Campaign Overview'!A24="","",COUNTIFS('Raw GHL Data'!C:C,'Campaign Overview'!A24,'Raw GHL Data'!H:H,"&gt;="&amp;TODAY()-30))</f>
        <v/>
      </c>
      <c r="Q80" s="21" t="str">
        <f aca="false">IF(OR('Campaign Overview'!A24="",M80=0),"",P80/M80)</f>
        <v/>
      </c>
    </row>
    <row r="81" customFormat="false" ht="15" hidden="false" customHeight="false" outlineLevel="0" collapsed="false">
      <c r="K81" s="0" t="str">
        <f aca="false">IF('Campaign Overview'!A25="","",'Campaign Overview'!A25)</f>
        <v/>
      </c>
      <c r="L81" s="0" t="str">
        <f aca="false">IF('Campaign Overview'!A25="","",'Campaign Overview'!B25)</f>
        <v/>
      </c>
      <c r="M81" s="0" t="str">
        <f aca="true">IF('Campaign Overview'!A25="","",COUNTIFS('Raw SmartLead Replies'!A:A,'Campaign Overview'!A25,'Raw SmartLead Replies'!F:F,"&gt;="&amp;TODAY()-30))</f>
        <v/>
      </c>
      <c r="N81" s="0" t="str">
        <f aca="true">IF('Campaign Overview'!A25="","",COUNTIFS('Raw SmartLead Replies'!A:A,'Campaign Overview'!A25,'Raw SmartLead Replies'!G:G,"Interested",'Raw SmartLead Replies'!F:F,"&gt;="&amp;TODAY()-30))</f>
        <v/>
      </c>
      <c r="O81" s="0" t="str">
        <f aca="true">IF('Campaign Overview'!A25="","",COUNTIFS('Raw GHL Data'!C:C,'Campaign Overview'!A25,'Raw GHL Data'!E:E,"&gt;="&amp;TODAY()-30))</f>
        <v/>
      </c>
      <c r="P81" s="0" t="str">
        <f aca="true">IF('Campaign Overview'!A25="","",COUNTIFS('Raw GHL Data'!C:C,'Campaign Overview'!A25,'Raw GHL Data'!H:H,"&gt;="&amp;TODAY()-30))</f>
        <v/>
      </c>
      <c r="Q81" s="21" t="str">
        <f aca="false">IF(OR('Campaign Overview'!A25="",M81=0),"",P81/M81)</f>
        <v/>
      </c>
    </row>
    <row r="82" customFormat="false" ht="15" hidden="false" customHeight="false" outlineLevel="0" collapsed="false">
      <c r="K82" s="0" t="str">
        <f aca="false">IF('Campaign Overview'!A26="","",'Campaign Overview'!A26)</f>
        <v/>
      </c>
      <c r="L82" s="0" t="str">
        <f aca="false">IF('Campaign Overview'!A26="","",'Campaign Overview'!B26)</f>
        <v/>
      </c>
      <c r="M82" s="0" t="str">
        <f aca="true">IF('Campaign Overview'!A26="","",COUNTIFS('Raw SmartLead Replies'!A:A,'Campaign Overview'!A26,'Raw SmartLead Replies'!F:F,"&gt;="&amp;TODAY()-30))</f>
        <v/>
      </c>
      <c r="N82" s="0" t="str">
        <f aca="true">IF('Campaign Overview'!A26="","",COUNTIFS('Raw SmartLead Replies'!A:A,'Campaign Overview'!A26,'Raw SmartLead Replies'!G:G,"Interested",'Raw SmartLead Replies'!F:F,"&gt;="&amp;TODAY()-30))</f>
        <v/>
      </c>
      <c r="O82" s="0" t="str">
        <f aca="true">IF('Campaign Overview'!A26="","",COUNTIFS('Raw GHL Data'!C:C,'Campaign Overview'!A26,'Raw GHL Data'!E:E,"&gt;="&amp;TODAY()-30))</f>
        <v/>
      </c>
      <c r="P82" s="0" t="str">
        <f aca="true">IF('Campaign Overview'!A26="","",COUNTIFS('Raw GHL Data'!C:C,'Campaign Overview'!A26,'Raw GHL Data'!H:H,"&gt;="&amp;TODAY()-30))</f>
        <v/>
      </c>
      <c r="Q82" s="21" t="str">
        <f aca="false">IF(OR('Campaign Overview'!A26="",M82=0),"",P82/M82)</f>
        <v/>
      </c>
    </row>
    <row r="83" customFormat="false" ht="15" hidden="false" customHeight="false" outlineLevel="0" collapsed="false">
      <c r="K83" s="0" t="str">
        <f aca="false">IF('Campaign Overview'!A27="","",'Campaign Overview'!A27)</f>
        <v/>
      </c>
      <c r="L83" s="0" t="str">
        <f aca="false">IF('Campaign Overview'!A27="","",'Campaign Overview'!B27)</f>
        <v/>
      </c>
      <c r="M83" s="0" t="str">
        <f aca="true">IF('Campaign Overview'!A27="","",COUNTIFS('Raw SmartLead Replies'!A:A,'Campaign Overview'!A27,'Raw SmartLead Replies'!F:F,"&gt;="&amp;TODAY()-30))</f>
        <v/>
      </c>
      <c r="N83" s="0" t="str">
        <f aca="true">IF('Campaign Overview'!A27="","",COUNTIFS('Raw SmartLead Replies'!A:A,'Campaign Overview'!A27,'Raw SmartLead Replies'!G:G,"Interested",'Raw SmartLead Replies'!F:F,"&gt;="&amp;TODAY()-30))</f>
        <v/>
      </c>
      <c r="O83" s="0" t="str">
        <f aca="true">IF('Campaign Overview'!A27="","",COUNTIFS('Raw GHL Data'!C:C,'Campaign Overview'!A27,'Raw GHL Data'!E:E,"&gt;="&amp;TODAY()-30))</f>
        <v/>
      </c>
      <c r="P83" s="0" t="str">
        <f aca="true">IF('Campaign Overview'!A27="","",COUNTIFS('Raw GHL Data'!C:C,'Campaign Overview'!A27,'Raw GHL Data'!H:H,"&gt;="&amp;TODAY()-30))</f>
        <v/>
      </c>
      <c r="Q83" s="21" t="str">
        <f aca="false">IF(OR('Campaign Overview'!A27="",M83=0),"",P83/M83)</f>
        <v/>
      </c>
    </row>
    <row r="84" customFormat="false" ht="15" hidden="false" customHeight="false" outlineLevel="0" collapsed="false">
      <c r="K84" s="0" t="str">
        <f aca="false">IF('Campaign Overview'!A28="","",'Campaign Overview'!A28)</f>
        <v/>
      </c>
      <c r="L84" s="0" t="str">
        <f aca="false">IF('Campaign Overview'!A28="","",'Campaign Overview'!B28)</f>
        <v/>
      </c>
      <c r="M84" s="0" t="str">
        <f aca="true">IF('Campaign Overview'!A28="","",COUNTIFS('Raw SmartLead Replies'!A:A,'Campaign Overview'!A28,'Raw SmartLead Replies'!F:F,"&gt;="&amp;TODAY()-30))</f>
        <v/>
      </c>
      <c r="N84" s="0" t="str">
        <f aca="true">IF('Campaign Overview'!A28="","",COUNTIFS('Raw SmartLead Replies'!A:A,'Campaign Overview'!A28,'Raw SmartLead Replies'!G:G,"Interested",'Raw SmartLead Replies'!F:F,"&gt;="&amp;TODAY()-30))</f>
        <v/>
      </c>
      <c r="O84" s="0" t="str">
        <f aca="true">IF('Campaign Overview'!A28="","",COUNTIFS('Raw GHL Data'!C:C,'Campaign Overview'!A28,'Raw GHL Data'!E:E,"&gt;="&amp;TODAY()-30))</f>
        <v/>
      </c>
      <c r="P84" s="0" t="str">
        <f aca="true">IF('Campaign Overview'!A28="","",COUNTIFS('Raw GHL Data'!C:C,'Campaign Overview'!A28,'Raw GHL Data'!H:H,"&gt;="&amp;TODAY()-30))</f>
        <v/>
      </c>
      <c r="Q84" s="21" t="str">
        <f aca="false">IF(OR('Campaign Overview'!A28="",M84=0),"",P84/M84)</f>
        <v/>
      </c>
    </row>
    <row r="85" customFormat="false" ht="15" hidden="false" customHeight="false" outlineLevel="0" collapsed="false">
      <c r="K85" s="0" t="str">
        <f aca="false">IF('Campaign Overview'!A29="","",'Campaign Overview'!A29)</f>
        <v/>
      </c>
      <c r="L85" s="0" t="str">
        <f aca="false">IF('Campaign Overview'!A29="","",'Campaign Overview'!B29)</f>
        <v/>
      </c>
      <c r="M85" s="0" t="str">
        <f aca="true">IF('Campaign Overview'!A29="","",COUNTIFS('Raw SmartLead Replies'!A:A,'Campaign Overview'!A29,'Raw SmartLead Replies'!F:F,"&gt;="&amp;TODAY()-30))</f>
        <v/>
      </c>
      <c r="N85" s="0" t="str">
        <f aca="true">IF('Campaign Overview'!A29="","",COUNTIFS('Raw SmartLead Replies'!A:A,'Campaign Overview'!A29,'Raw SmartLead Replies'!G:G,"Interested",'Raw SmartLead Replies'!F:F,"&gt;="&amp;TODAY()-30))</f>
        <v/>
      </c>
      <c r="O85" s="0" t="str">
        <f aca="true">IF('Campaign Overview'!A29="","",COUNTIFS('Raw GHL Data'!C:C,'Campaign Overview'!A29,'Raw GHL Data'!E:E,"&gt;="&amp;TODAY()-30))</f>
        <v/>
      </c>
      <c r="P85" s="0" t="str">
        <f aca="true">IF('Campaign Overview'!A29="","",COUNTIFS('Raw GHL Data'!C:C,'Campaign Overview'!A29,'Raw GHL Data'!H:H,"&gt;="&amp;TODAY()-30))</f>
        <v/>
      </c>
      <c r="Q85" s="21" t="str">
        <f aca="false">IF(OR('Campaign Overview'!A29="",M85=0),"",P85/M85)</f>
        <v/>
      </c>
    </row>
    <row r="86" customFormat="false" ht="15" hidden="false" customHeight="false" outlineLevel="0" collapsed="false">
      <c r="K86" s="0" t="str">
        <f aca="false">IF('Campaign Overview'!A30="","",'Campaign Overview'!A30)</f>
        <v/>
      </c>
      <c r="L86" s="0" t="str">
        <f aca="false">IF('Campaign Overview'!A30="","",'Campaign Overview'!B30)</f>
        <v/>
      </c>
      <c r="M86" s="0" t="str">
        <f aca="true">IF('Campaign Overview'!A30="","",COUNTIFS('Raw SmartLead Replies'!A:A,'Campaign Overview'!A30,'Raw SmartLead Replies'!F:F,"&gt;="&amp;TODAY()-30))</f>
        <v/>
      </c>
      <c r="N86" s="0" t="str">
        <f aca="true">IF('Campaign Overview'!A30="","",COUNTIFS('Raw SmartLead Replies'!A:A,'Campaign Overview'!A30,'Raw SmartLead Replies'!G:G,"Interested",'Raw SmartLead Replies'!F:F,"&gt;="&amp;TODAY()-30))</f>
        <v/>
      </c>
      <c r="O86" s="0" t="str">
        <f aca="true">IF('Campaign Overview'!A30="","",COUNTIFS('Raw GHL Data'!C:C,'Campaign Overview'!A30,'Raw GHL Data'!E:E,"&gt;="&amp;TODAY()-30))</f>
        <v/>
      </c>
      <c r="P86" s="0" t="str">
        <f aca="true">IF('Campaign Overview'!A30="","",COUNTIFS('Raw GHL Data'!C:C,'Campaign Overview'!A30,'Raw GHL Data'!H:H,"&gt;="&amp;TODAY()-30))</f>
        <v/>
      </c>
      <c r="Q86" s="21" t="str">
        <f aca="false">IF(OR('Campaign Overview'!A30="",M86=0),"",P86/M86)</f>
        <v/>
      </c>
    </row>
    <row r="87" customFormat="false" ht="15" hidden="false" customHeight="false" outlineLevel="0" collapsed="false">
      <c r="K87" s="0" t="str">
        <f aca="false">IF('Campaign Overview'!A31="","",'Campaign Overview'!A31)</f>
        <v/>
      </c>
      <c r="L87" s="0" t="str">
        <f aca="false">IF('Campaign Overview'!A31="","",'Campaign Overview'!B31)</f>
        <v/>
      </c>
      <c r="M87" s="0" t="str">
        <f aca="true">IF('Campaign Overview'!A31="","",COUNTIFS('Raw SmartLead Replies'!A:A,'Campaign Overview'!A31,'Raw SmartLead Replies'!F:F,"&gt;="&amp;TODAY()-30))</f>
        <v/>
      </c>
      <c r="N87" s="0" t="str">
        <f aca="true">IF('Campaign Overview'!A31="","",COUNTIFS('Raw SmartLead Replies'!A:A,'Campaign Overview'!A31,'Raw SmartLead Replies'!G:G,"Interested",'Raw SmartLead Replies'!F:F,"&gt;="&amp;TODAY()-30))</f>
        <v/>
      </c>
      <c r="O87" s="0" t="str">
        <f aca="true">IF('Campaign Overview'!A31="","",COUNTIFS('Raw GHL Data'!C:C,'Campaign Overview'!A31,'Raw GHL Data'!E:E,"&gt;="&amp;TODAY()-30))</f>
        <v/>
      </c>
      <c r="P87" s="0" t="str">
        <f aca="true">IF('Campaign Overview'!A31="","",COUNTIFS('Raw GHL Data'!C:C,'Campaign Overview'!A31,'Raw GHL Data'!H:H,"&gt;="&amp;TODAY()-30))</f>
        <v/>
      </c>
      <c r="Q87" s="21" t="str">
        <f aca="false">IF(OR('Campaign Overview'!A31="",M87=0),"",P87/M87)</f>
        <v/>
      </c>
    </row>
    <row r="88" customFormat="false" ht="15" hidden="false" customHeight="false" outlineLevel="0" collapsed="false">
      <c r="K88" s="0" t="str">
        <f aca="false">IF('Campaign Overview'!A32="","",'Campaign Overview'!A32)</f>
        <v/>
      </c>
      <c r="L88" s="0" t="str">
        <f aca="false">IF('Campaign Overview'!A32="","",'Campaign Overview'!B32)</f>
        <v/>
      </c>
      <c r="M88" s="0" t="str">
        <f aca="true">IF('Campaign Overview'!A32="","",COUNTIFS('Raw SmartLead Replies'!A:A,'Campaign Overview'!A32,'Raw SmartLead Replies'!F:F,"&gt;="&amp;TODAY()-30))</f>
        <v/>
      </c>
      <c r="N88" s="0" t="str">
        <f aca="true">IF('Campaign Overview'!A32="","",COUNTIFS('Raw SmartLead Replies'!A:A,'Campaign Overview'!A32,'Raw SmartLead Replies'!G:G,"Interested",'Raw SmartLead Replies'!F:F,"&gt;="&amp;TODAY()-30))</f>
        <v/>
      </c>
      <c r="O88" s="0" t="str">
        <f aca="true">IF('Campaign Overview'!A32="","",COUNTIFS('Raw GHL Data'!C:C,'Campaign Overview'!A32,'Raw GHL Data'!E:E,"&gt;="&amp;TODAY()-30))</f>
        <v/>
      </c>
      <c r="P88" s="0" t="str">
        <f aca="true">IF('Campaign Overview'!A32="","",COUNTIFS('Raw GHL Data'!C:C,'Campaign Overview'!A32,'Raw GHL Data'!H:H,"&gt;="&amp;TODAY()-30))</f>
        <v/>
      </c>
      <c r="Q88" s="21" t="str">
        <f aca="false">IF(OR('Campaign Overview'!A32="",M88=0),"",P88/M88)</f>
        <v/>
      </c>
    </row>
    <row r="89" customFormat="false" ht="15" hidden="false" customHeight="false" outlineLevel="0" collapsed="false">
      <c r="K89" s="0" t="str">
        <f aca="false">IF('Campaign Overview'!A33="","",'Campaign Overview'!A33)</f>
        <v/>
      </c>
      <c r="L89" s="0" t="str">
        <f aca="false">IF('Campaign Overview'!A33="","",'Campaign Overview'!B33)</f>
        <v/>
      </c>
      <c r="M89" s="0" t="str">
        <f aca="true">IF('Campaign Overview'!A33="","",COUNTIFS('Raw SmartLead Replies'!A:A,'Campaign Overview'!A33,'Raw SmartLead Replies'!F:F,"&gt;="&amp;TODAY()-30))</f>
        <v/>
      </c>
      <c r="N89" s="0" t="str">
        <f aca="true">IF('Campaign Overview'!A33="","",COUNTIFS('Raw SmartLead Replies'!A:A,'Campaign Overview'!A33,'Raw SmartLead Replies'!G:G,"Interested",'Raw SmartLead Replies'!F:F,"&gt;="&amp;TODAY()-30))</f>
        <v/>
      </c>
      <c r="O89" s="0" t="str">
        <f aca="true">IF('Campaign Overview'!A33="","",COUNTIFS('Raw GHL Data'!C:C,'Campaign Overview'!A33,'Raw GHL Data'!E:E,"&gt;="&amp;TODAY()-30))</f>
        <v/>
      </c>
      <c r="P89" s="0" t="str">
        <f aca="true">IF('Campaign Overview'!A33="","",COUNTIFS('Raw GHL Data'!C:C,'Campaign Overview'!A33,'Raw GHL Data'!H:H,"&gt;="&amp;TODAY()-30))</f>
        <v/>
      </c>
      <c r="Q89" s="21" t="str">
        <f aca="false">IF(OR('Campaign Overview'!A33="",M89=0),"",P89/M89)</f>
        <v/>
      </c>
    </row>
    <row r="90" customFormat="false" ht="15" hidden="false" customHeight="false" outlineLevel="0" collapsed="false">
      <c r="K90" s="0" t="str">
        <f aca="false">IF('Campaign Overview'!A34="","",'Campaign Overview'!A34)</f>
        <v/>
      </c>
      <c r="L90" s="0" t="str">
        <f aca="false">IF('Campaign Overview'!A34="","",'Campaign Overview'!B34)</f>
        <v/>
      </c>
      <c r="M90" s="0" t="str">
        <f aca="true">IF('Campaign Overview'!A34="","",COUNTIFS('Raw SmartLead Replies'!A:A,'Campaign Overview'!A34,'Raw SmartLead Replies'!F:F,"&gt;="&amp;TODAY()-30))</f>
        <v/>
      </c>
      <c r="N90" s="0" t="str">
        <f aca="true">IF('Campaign Overview'!A34="","",COUNTIFS('Raw SmartLead Replies'!A:A,'Campaign Overview'!A34,'Raw SmartLead Replies'!G:G,"Interested",'Raw SmartLead Replies'!F:F,"&gt;="&amp;TODAY()-30))</f>
        <v/>
      </c>
      <c r="O90" s="0" t="str">
        <f aca="true">IF('Campaign Overview'!A34="","",COUNTIFS('Raw GHL Data'!C:C,'Campaign Overview'!A34,'Raw GHL Data'!E:E,"&gt;="&amp;TODAY()-30))</f>
        <v/>
      </c>
      <c r="P90" s="0" t="str">
        <f aca="true">IF('Campaign Overview'!A34="","",COUNTIFS('Raw GHL Data'!C:C,'Campaign Overview'!A34,'Raw GHL Data'!H:H,"&gt;="&amp;TODAY()-30))</f>
        <v/>
      </c>
      <c r="Q90" s="21" t="str">
        <f aca="false">IF(OR('Campaign Overview'!A34="",M90=0),"",P90/M90)</f>
        <v/>
      </c>
    </row>
    <row r="91" customFormat="false" ht="15" hidden="false" customHeight="false" outlineLevel="0" collapsed="false">
      <c r="K91" s="0" t="str">
        <f aca="false">IF('Campaign Overview'!A35="","",'Campaign Overview'!A35)</f>
        <v/>
      </c>
      <c r="L91" s="0" t="str">
        <f aca="false">IF('Campaign Overview'!A35="","",'Campaign Overview'!B35)</f>
        <v/>
      </c>
      <c r="M91" s="0" t="str">
        <f aca="true">IF('Campaign Overview'!A35="","",COUNTIFS('Raw SmartLead Replies'!A:A,'Campaign Overview'!A35,'Raw SmartLead Replies'!F:F,"&gt;="&amp;TODAY()-30))</f>
        <v/>
      </c>
      <c r="N91" s="0" t="str">
        <f aca="true">IF('Campaign Overview'!A35="","",COUNTIFS('Raw SmartLead Replies'!A:A,'Campaign Overview'!A35,'Raw SmartLead Replies'!G:G,"Interested",'Raw SmartLead Replies'!F:F,"&gt;="&amp;TODAY()-30))</f>
        <v/>
      </c>
      <c r="O91" s="0" t="str">
        <f aca="true">IF('Campaign Overview'!A35="","",COUNTIFS('Raw GHL Data'!C:C,'Campaign Overview'!A35,'Raw GHL Data'!E:E,"&gt;="&amp;TODAY()-30))</f>
        <v/>
      </c>
      <c r="P91" s="0" t="str">
        <f aca="true">IF('Campaign Overview'!A35="","",COUNTIFS('Raw GHL Data'!C:C,'Campaign Overview'!A35,'Raw GHL Data'!H:H,"&gt;="&amp;TODAY()-30))</f>
        <v/>
      </c>
      <c r="Q91" s="21" t="str">
        <f aca="false">IF(OR('Campaign Overview'!A35="",M91=0),"",P91/M91)</f>
        <v/>
      </c>
    </row>
    <row r="92" customFormat="false" ht="15" hidden="false" customHeight="false" outlineLevel="0" collapsed="false">
      <c r="K92" s="0" t="str">
        <f aca="false">IF('Campaign Overview'!A36="","",'Campaign Overview'!A36)</f>
        <v/>
      </c>
      <c r="L92" s="0" t="str">
        <f aca="false">IF('Campaign Overview'!A36="","",'Campaign Overview'!B36)</f>
        <v/>
      </c>
      <c r="M92" s="0" t="str">
        <f aca="true">IF('Campaign Overview'!A36="","",COUNTIFS('Raw SmartLead Replies'!A:A,'Campaign Overview'!A36,'Raw SmartLead Replies'!F:F,"&gt;="&amp;TODAY()-30))</f>
        <v/>
      </c>
      <c r="N92" s="0" t="str">
        <f aca="true">IF('Campaign Overview'!A36="","",COUNTIFS('Raw SmartLead Replies'!A:A,'Campaign Overview'!A36,'Raw SmartLead Replies'!G:G,"Interested",'Raw SmartLead Replies'!F:F,"&gt;="&amp;TODAY()-30))</f>
        <v/>
      </c>
      <c r="O92" s="0" t="str">
        <f aca="true">IF('Campaign Overview'!A36="","",COUNTIFS('Raw GHL Data'!C:C,'Campaign Overview'!A36,'Raw GHL Data'!E:E,"&gt;="&amp;TODAY()-30))</f>
        <v/>
      </c>
      <c r="P92" s="0" t="str">
        <f aca="true">IF('Campaign Overview'!A36="","",COUNTIFS('Raw GHL Data'!C:C,'Campaign Overview'!A36,'Raw GHL Data'!H:H,"&gt;="&amp;TODAY()-30))</f>
        <v/>
      </c>
      <c r="Q92" s="21" t="str">
        <f aca="false">IF(OR('Campaign Overview'!A36="",M92=0),"",P92/M92)</f>
        <v/>
      </c>
    </row>
    <row r="93" customFormat="false" ht="15" hidden="false" customHeight="false" outlineLevel="0" collapsed="false">
      <c r="K93" s="0" t="str">
        <f aca="false">IF('Campaign Overview'!A37="","",'Campaign Overview'!A37)</f>
        <v/>
      </c>
      <c r="L93" s="0" t="str">
        <f aca="false">IF('Campaign Overview'!A37="","",'Campaign Overview'!B37)</f>
        <v/>
      </c>
      <c r="M93" s="0" t="str">
        <f aca="true">IF('Campaign Overview'!A37="","",COUNTIFS('Raw SmartLead Replies'!A:A,'Campaign Overview'!A37,'Raw SmartLead Replies'!F:F,"&gt;="&amp;TODAY()-30))</f>
        <v/>
      </c>
      <c r="N93" s="0" t="str">
        <f aca="true">IF('Campaign Overview'!A37="","",COUNTIFS('Raw SmartLead Replies'!A:A,'Campaign Overview'!A37,'Raw SmartLead Replies'!G:G,"Interested",'Raw SmartLead Replies'!F:F,"&gt;="&amp;TODAY()-30))</f>
        <v/>
      </c>
      <c r="O93" s="0" t="str">
        <f aca="true">IF('Campaign Overview'!A37="","",COUNTIFS('Raw GHL Data'!C:C,'Campaign Overview'!A37,'Raw GHL Data'!E:E,"&gt;="&amp;TODAY()-30))</f>
        <v/>
      </c>
      <c r="P93" s="0" t="str">
        <f aca="true">IF('Campaign Overview'!A37="","",COUNTIFS('Raw GHL Data'!C:C,'Campaign Overview'!A37,'Raw GHL Data'!H:H,"&gt;="&amp;TODAY()-30))</f>
        <v/>
      </c>
      <c r="Q93" s="21" t="str">
        <f aca="false">IF(OR('Campaign Overview'!A37="",M93=0),"",P93/M93)</f>
        <v/>
      </c>
    </row>
    <row r="94" customFormat="false" ht="15" hidden="false" customHeight="false" outlineLevel="0" collapsed="false">
      <c r="K94" s="0" t="str">
        <f aca="false">IF('Campaign Overview'!A38="","",'Campaign Overview'!A38)</f>
        <v/>
      </c>
      <c r="L94" s="0" t="str">
        <f aca="false">IF('Campaign Overview'!A38="","",'Campaign Overview'!B38)</f>
        <v/>
      </c>
      <c r="M94" s="0" t="str">
        <f aca="true">IF('Campaign Overview'!A38="","",COUNTIFS('Raw SmartLead Replies'!A:A,'Campaign Overview'!A38,'Raw SmartLead Replies'!F:F,"&gt;="&amp;TODAY()-30))</f>
        <v/>
      </c>
      <c r="N94" s="0" t="str">
        <f aca="true">IF('Campaign Overview'!A38="","",COUNTIFS('Raw SmartLead Replies'!A:A,'Campaign Overview'!A38,'Raw SmartLead Replies'!G:G,"Interested",'Raw SmartLead Replies'!F:F,"&gt;="&amp;TODAY()-30))</f>
        <v/>
      </c>
      <c r="O94" s="0" t="str">
        <f aca="true">IF('Campaign Overview'!A38="","",COUNTIFS('Raw GHL Data'!C:C,'Campaign Overview'!A38,'Raw GHL Data'!E:E,"&gt;="&amp;TODAY()-30))</f>
        <v/>
      </c>
      <c r="P94" s="0" t="str">
        <f aca="true">IF('Campaign Overview'!A38="","",COUNTIFS('Raw GHL Data'!C:C,'Campaign Overview'!A38,'Raw GHL Data'!H:H,"&gt;="&amp;TODAY()-30))</f>
        <v/>
      </c>
      <c r="Q94" s="21" t="str">
        <f aca="false">IF(OR('Campaign Overview'!A38="",M94=0),"",P94/M94)</f>
        <v/>
      </c>
    </row>
    <row r="95" customFormat="false" ht="15" hidden="false" customHeight="false" outlineLevel="0" collapsed="false">
      <c r="K95" s="0" t="str">
        <f aca="false">IF('Campaign Overview'!A39="","",'Campaign Overview'!A39)</f>
        <v/>
      </c>
      <c r="L95" s="0" t="str">
        <f aca="false">IF('Campaign Overview'!A39="","",'Campaign Overview'!B39)</f>
        <v/>
      </c>
      <c r="M95" s="0" t="str">
        <f aca="true">IF('Campaign Overview'!A39="","",COUNTIFS('Raw SmartLead Replies'!A:A,'Campaign Overview'!A39,'Raw SmartLead Replies'!F:F,"&gt;="&amp;TODAY()-30))</f>
        <v/>
      </c>
      <c r="N95" s="0" t="str">
        <f aca="true">IF('Campaign Overview'!A39="","",COUNTIFS('Raw SmartLead Replies'!A:A,'Campaign Overview'!A39,'Raw SmartLead Replies'!G:G,"Interested",'Raw SmartLead Replies'!F:F,"&gt;="&amp;TODAY()-30))</f>
        <v/>
      </c>
      <c r="O95" s="0" t="str">
        <f aca="true">IF('Campaign Overview'!A39="","",COUNTIFS('Raw GHL Data'!C:C,'Campaign Overview'!A39,'Raw GHL Data'!E:E,"&gt;="&amp;TODAY()-30))</f>
        <v/>
      </c>
      <c r="P95" s="0" t="str">
        <f aca="true">IF('Campaign Overview'!A39="","",COUNTIFS('Raw GHL Data'!C:C,'Campaign Overview'!A39,'Raw GHL Data'!H:H,"&gt;="&amp;TODAY()-30))</f>
        <v/>
      </c>
      <c r="Q95" s="21" t="str">
        <f aca="false">IF(OR('Campaign Overview'!A39="",M95=0),"",P95/M95)</f>
        <v/>
      </c>
    </row>
    <row r="96" customFormat="false" ht="15" hidden="false" customHeight="false" outlineLevel="0" collapsed="false">
      <c r="K96" s="0" t="str">
        <f aca="false">IF('Campaign Overview'!A40="","",'Campaign Overview'!A40)</f>
        <v/>
      </c>
      <c r="L96" s="0" t="str">
        <f aca="false">IF('Campaign Overview'!A40="","",'Campaign Overview'!B40)</f>
        <v/>
      </c>
      <c r="M96" s="0" t="str">
        <f aca="true">IF('Campaign Overview'!A40="","",COUNTIFS('Raw SmartLead Replies'!A:A,'Campaign Overview'!A40,'Raw SmartLead Replies'!F:F,"&gt;="&amp;TODAY()-30))</f>
        <v/>
      </c>
      <c r="N96" s="0" t="str">
        <f aca="true">IF('Campaign Overview'!A40="","",COUNTIFS('Raw SmartLead Replies'!A:A,'Campaign Overview'!A40,'Raw SmartLead Replies'!G:G,"Interested",'Raw SmartLead Replies'!F:F,"&gt;="&amp;TODAY()-30))</f>
        <v/>
      </c>
      <c r="O96" s="0" t="str">
        <f aca="true">IF('Campaign Overview'!A40="","",COUNTIFS('Raw GHL Data'!C:C,'Campaign Overview'!A40,'Raw GHL Data'!E:E,"&gt;="&amp;TODAY()-30))</f>
        <v/>
      </c>
      <c r="P96" s="0" t="str">
        <f aca="true">IF('Campaign Overview'!A40="","",COUNTIFS('Raw GHL Data'!C:C,'Campaign Overview'!A40,'Raw GHL Data'!H:H,"&gt;="&amp;TODAY()-30))</f>
        <v/>
      </c>
      <c r="Q96" s="21" t="str">
        <f aca="false">IF(OR('Campaign Overview'!A40="",M96=0),"",P96/M96)</f>
        <v/>
      </c>
    </row>
    <row r="97" customFormat="false" ht="15" hidden="false" customHeight="false" outlineLevel="0" collapsed="false">
      <c r="K97" s="0" t="str">
        <f aca="false">IF('Campaign Overview'!A41="","",'Campaign Overview'!A41)</f>
        <v/>
      </c>
      <c r="L97" s="0" t="str">
        <f aca="false">IF('Campaign Overview'!A41="","",'Campaign Overview'!B41)</f>
        <v/>
      </c>
      <c r="M97" s="0" t="str">
        <f aca="true">IF('Campaign Overview'!A41="","",COUNTIFS('Raw SmartLead Replies'!A:A,'Campaign Overview'!A41,'Raw SmartLead Replies'!F:F,"&gt;="&amp;TODAY()-30))</f>
        <v/>
      </c>
      <c r="N97" s="0" t="str">
        <f aca="true">IF('Campaign Overview'!A41="","",COUNTIFS('Raw SmartLead Replies'!A:A,'Campaign Overview'!A41,'Raw SmartLead Replies'!G:G,"Interested",'Raw SmartLead Replies'!F:F,"&gt;="&amp;TODAY()-30))</f>
        <v/>
      </c>
      <c r="O97" s="0" t="str">
        <f aca="true">IF('Campaign Overview'!A41="","",COUNTIFS('Raw GHL Data'!C:C,'Campaign Overview'!A41,'Raw GHL Data'!E:E,"&gt;="&amp;TODAY()-30))</f>
        <v/>
      </c>
      <c r="P97" s="0" t="str">
        <f aca="true">IF('Campaign Overview'!A41="","",COUNTIFS('Raw GHL Data'!C:C,'Campaign Overview'!A41,'Raw GHL Data'!H:H,"&gt;="&amp;TODAY()-30))</f>
        <v/>
      </c>
      <c r="Q97" s="21" t="str">
        <f aca="false">IF(OR('Campaign Overview'!A41="",M97=0),"",P97/M97)</f>
        <v/>
      </c>
    </row>
    <row r="98" customFormat="false" ht="15" hidden="false" customHeight="false" outlineLevel="0" collapsed="false">
      <c r="K98" s="0" t="str">
        <f aca="false">IF('Campaign Overview'!A42="","",'Campaign Overview'!A42)</f>
        <v/>
      </c>
      <c r="L98" s="0" t="str">
        <f aca="false">IF('Campaign Overview'!A42="","",'Campaign Overview'!B42)</f>
        <v/>
      </c>
      <c r="M98" s="0" t="str">
        <f aca="true">IF('Campaign Overview'!A42="","",COUNTIFS('Raw SmartLead Replies'!A:A,'Campaign Overview'!A42,'Raw SmartLead Replies'!F:F,"&gt;="&amp;TODAY()-30))</f>
        <v/>
      </c>
      <c r="N98" s="0" t="str">
        <f aca="true">IF('Campaign Overview'!A42="","",COUNTIFS('Raw SmartLead Replies'!A:A,'Campaign Overview'!A42,'Raw SmartLead Replies'!G:G,"Interested",'Raw SmartLead Replies'!F:F,"&gt;="&amp;TODAY()-30))</f>
        <v/>
      </c>
      <c r="O98" s="0" t="str">
        <f aca="true">IF('Campaign Overview'!A42="","",COUNTIFS('Raw GHL Data'!C:C,'Campaign Overview'!A42,'Raw GHL Data'!E:E,"&gt;="&amp;TODAY()-30))</f>
        <v/>
      </c>
      <c r="P98" s="0" t="str">
        <f aca="true">IF('Campaign Overview'!A42="","",COUNTIFS('Raw GHL Data'!C:C,'Campaign Overview'!A42,'Raw GHL Data'!H:H,"&gt;="&amp;TODAY()-30))</f>
        <v/>
      </c>
      <c r="Q98" s="21" t="str">
        <f aca="false">IF(OR('Campaign Overview'!A42="",M98=0),"",P98/M98)</f>
        <v/>
      </c>
    </row>
    <row r="99" customFormat="false" ht="15" hidden="false" customHeight="false" outlineLevel="0" collapsed="false">
      <c r="K99" s="0" t="str">
        <f aca="false">IF('Campaign Overview'!A43="","",'Campaign Overview'!A43)</f>
        <v/>
      </c>
      <c r="L99" s="0" t="str">
        <f aca="false">IF('Campaign Overview'!A43="","",'Campaign Overview'!B43)</f>
        <v/>
      </c>
      <c r="M99" s="0" t="str">
        <f aca="true">IF('Campaign Overview'!A43="","",COUNTIFS('Raw SmartLead Replies'!A:A,'Campaign Overview'!A43,'Raw SmartLead Replies'!F:F,"&gt;="&amp;TODAY()-30))</f>
        <v/>
      </c>
      <c r="N99" s="0" t="str">
        <f aca="true">IF('Campaign Overview'!A43="","",COUNTIFS('Raw SmartLead Replies'!A:A,'Campaign Overview'!A43,'Raw SmartLead Replies'!G:G,"Interested",'Raw SmartLead Replies'!F:F,"&gt;="&amp;TODAY()-30))</f>
        <v/>
      </c>
      <c r="O99" s="0" t="str">
        <f aca="true">IF('Campaign Overview'!A43="","",COUNTIFS('Raw GHL Data'!C:C,'Campaign Overview'!A43,'Raw GHL Data'!E:E,"&gt;="&amp;TODAY()-30))</f>
        <v/>
      </c>
      <c r="P99" s="0" t="str">
        <f aca="true">IF('Campaign Overview'!A43="","",COUNTIFS('Raw GHL Data'!C:C,'Campaign Overview'!A43,'Raw GHL Data'!H:H,"&gt;="&amp;TODAY()-30))</f>
        <v/>
      </c>
      <c r="Q99" s="21" t="str">
        <f aca="false">IF(OR('Campaign Overview'!A43="",M99=0),"",P99/M99)</f>
        <v/>
      </c>
    </row>
    <row r="100" customFormat="false" ht="15" hidden="false" customHeight="false" outlineLevel="0" collapsed="false">
      <c r="K100" s="0" t="str">
        <f aca="false">IF('Campaign Overview'!A44="","",'Campaign Overview'!A44)</f>
        <v/>
      </c>
      <c r="L100" s="0" t="str">
        <f aca="false">IF('Campaign Overview'!A44="","",'Campaign Overview'!B44)</f>
        <v/>
      </c>
      <c r="M100" s="0" t="str">
        <f aca="true">IF('Campaign Overview'!A44="","",COUNTIFS('Raw SmartLead Replies'!A:A,'Campaign Overview'!A44,'Raw SmartLead Replies'!F:F,"&gt;="&amp;TODAY()-30))</f>
        <v/>
      </c>
      <c r="N100" s="0" t="str">
        <f aca="true">IF('Campaign Overview'!A44="","",COUNTIFS('Raw SmartLead Replies'!A:A,'Campaign Overview'!A44,'Raw SmartLead Replies'!G:G,"Interested",'Raw SmartLead Replies'!F:F,"&gt;="&amp;TODAY()-30))</f>
        <v/>
      </c>
      <c r="O100" s="0" t="str">
        <f aca="true">IF('Campaign Overview'!A44="","",COUNTIFS('Raw GHL Data'!C:C,'Campaign Overview'!A44,'Raw GHL Data'!E:E,"&gt;="&amp;TODAY()-30))</f>
        <v/>
      </c>
      <c r="P100" s="0" t="str">
        <f aca="true">IF('Campaign Overview'!A44="","",COUNTIFS('Raw GHL Data'!C:C,'Campaign Overview'!A44,'Raw GHL Data'!H:H,"&gt;="&amp;TODAY()-30))</f>
        <v/>
      </c>
      <c r="Q100" s="21" t="str">
        <f aca="false">IF(OR('Campaign Overview'!A44="",M100=0),"",P100/M100)</f>
        <v/>
      </c>
    </row>
    <row r="101" customFormat="false" ht="15" hidden="false" customHeight="false" outlineLevel="0" collapsed="false">
      <c r="K101" s="0" t="str">
        <f aca="false">IF('Campaign Overview'!A45="","",'Campaign Overview'!A45)</f>
        <v/>
      </c>
      <c r="L101" s="0" t="str">
        <f aca="false">IF('Campaign Overview'!A45="","",'Campaign Overview'!B45)</f>
        <v/>
      </c>
      <c r="M101" s="0" t="str">
        <f aca="true">IF('Campaign Overview'!A45="","",COUNTIFS('Raw SmartLead Replies'!A:A,'Campaign Overview'!A45,'Raw SmartLead Replies'!F:F,"&gt;="&amp;TODAY()-30))</f>
        <v/>
      </c>
      <c r="N101" s="0" t="str">
        <f aca="true">IF('Campaign Overview'!A45="","",COUNTIFS('Raw SmartLead Replies'!A:A,'Campaign Overview'!A45,'Raw SmartLead Replies'!G:G,"Interested",'Raw SmartLead Replies'!F:F,"&gt;="&amp;TODAY()-30))</f>
        <v/>
      </c>
      <c r="O101" s="0" t="str">
        <f aca="true">IF('Campaign Overview'!A45="","",COUNTIFS('Raw GHL Data'!C:C,'Campaign Overview'!A45,'Raw GHL Data'!E:E,"&gt;="&amp;TODAY()-30))</f>
        <v/>
      </c>
      <c r="P101" s="0" t="str">
        <f aca="true">IF('Campaign Overview'!A45="","",COUNTIFS('Raw GHL Data'!C:C,'Campaign Overview'!A45,'Raw GHL Data'!H:H,"&gt;="&amp;TODAY()-30))</f>
        <v/>
      </c>
      <c r="Q101" s="21" t="str">
        <f aca="false">IF(OR('Campaign Overview'!A45="",M101=0),"",P101/M101)</f>
        <v/>
      </c>
    </row>
    <row r="102" customFormat="false" ht="15" hidden="false" customHeight="false" outlineLevel="0" collapsed="false">
      <c r="K102" s="0" t="str">
        <f aca="false">IF('Campaign Overview'!A46="","",'Campaign Overview'!A46)</f>
        <v/>
      </c>
      <c r="L102" s="0" t="str">
        <f aca="false">IF('Campaign Overview'!A46="","",'Campaign Overview'!B46)</f>
        <v/>
      </c>
      <c r="M102" s="0" t="str">
        <f aca="true">IF('Campaign Overview'!A46="","",COUNTIFS('Raw SmartLead Replies'!A:A,'Campaign Overview'!A46,'Raw SmartLead Replies'!F:F,"&gt;="&amp;TODAY()-30))</f>
        <v/>
      </c>
      <c r="N102" s="0" t="str">
        <f aca="true">IF('Campaign Overview'!A46="","",COUNTIFS('Raw SmartLead Replies'!A:A,'Campaign Overview'!A46,'Raw SmartLead Replies'!G:G,"Interested",'Raw SmartLead Replies'!F:F,"&gt;="&amp;TODAY()-30))</f>
        <v/>
      </c>
      <c r="O102" s="0" t="str">
        <f aca="true">IF('Campaign Overview'!A46="","",COUNTIFS('Raw GHL Data'!C:C,'Campaign Overview'!A46,'Raw GHL Data'!E:E,"&gt;="&amp;TODAY()-30))</f>
        <v/>
      </c>
      <c r="P102" s="0" t="str">
        <f aca="true">IF('Campaign Overview'!A46="","",COUNTIFS('Raw GHL Data'!C:C,'Campaign Overview'!A46,'Raw GHL Data'!H:H,"&gt;="&amp;TODAY()-30))</f>
        <v/>
      </c>
      <c r="Q102" s="21" t="str">
        <f aca="false">IF(OR('Campaign Overview'!A46="",M102=0),"",P102/M102)</f>
        <v/>
      </c>
    </row>
    <row r="103" customFormat="false" ht="15" hidden="false" customHeight="false" outlineLevel="0" collapsed="false">
      <c r="K103" s="0" t="str">
        <f aca="false">IF('Campaign Overview'!A47="","",'Campaign Overview'!A47)</f>
        <v/>
      </c>
      <c r="L103" s="0" t="str">
        <f aca="false">IF('Campaign Overview'!A47="","",'Campaign Overview'!B47)</f>
        <v/>
      </c>
      <c r="M103" s="0" t="str">
        <f aca="true">IF('Campaign Overview'!A47="","",COUNTIFS('Raw SmartLead Replies'!A:A,'Campaign Overview'!A47,'Raw SmartLead Replies'!F:F,"&gt;="&amp;TODAY()-30))</f>
        <v/>
      </c>
      <c r="N103" s="0" t="str">
        <f aca="true">IF('Campaign Overview'!A47="","",COUNTIFS('Raw SmartLead Replies'!A:A,'Campaign Overview'!A47,'Raw SmartLead Replies'!G:G,"Interested",'Raw SmartLead Replies'!F:F,"&gt;="&amp;TODAY()-30))</f>
        <v/>
      </c>
      <c r="O103" s="0" t="str">
        <f aca="true">IF('Campaign Overview'!A47="","",COUNTIFS('Raw GHL Data'!C:C,'Campaign Overview'!A47,'Raw GHL Data'!E:E,"&gt;="&amp;TODAY()-30))</f>
        <v/>
      </c>
      <c r="P103" s="0" t="str">
        <f aca="true">IF('Campaign Overview'!A47="","",COUNTIFS('Raw GHL Data'!C:C,'Campaign Overview'!A47,'Raw GHL Data'!H:H,"&gt;="&amp;TODAY()-30))</f>
        <v/>
      </c>
      <c r="Q103" s="21" t="str">
        <f aca="false">IF(OR('Campaign Overview'!A47="",M103=0),"",P103/M103)</f>
        <v/>
      </c>
    </row>
    <row r="104" customFormat="false" ht="15" hidden="false" customHeight="false" outlineLevel="0" collapsed="false">
      <c r="K104" s="0" t="str">
        <f aca="false">IF('Campaign Overview'!A48="","",'Campaign Overview'!A48)</f>
        <v/>
      </c>
      <c r="L104" s="0" t="str">
        <f aca="false">IF('Campaign Overview'!A48="","",'Campaign Overview'!B48)</f>
        <v/>
      </c>
      <c r="M104" s="0" t="str">
        <f aca="true">IF('Campaign Overview'!A48="","",COUNTIFS('Raw SmartLead Replies'!A:A,'Campaign Overview'!A48,'Raw SmartLead Replies'!F:F,"&gt;="&amp;TODAY()-30))</f>
        <v/>
      </c>
      <c r="N104" s="0" t="str">
        <f aca="true">IF('Campaign Overview'!A48="","",COUNTIFS('Raw SmartLead Replies'!A:A,'Campaign Overview'!A48,'Raw SmartLead Replies'!G:G,"Interested",'Raw SmartLead Replies'!F:F,"&gt;="&amp;TODAY()-30))</f>
        <v/>
      </c>
      <c r="O104" s="0" t="str">
        <f aca="true">IF('Campaign Overview'!A48="","",COUNTIFS('Raw GHL Data'!C:C,'Campaign Overview'!A48,'Raw GHL Data'!E:E,"&gt;="&amp;TODAY()-30))</f>
        <v/>
      </c>
      <c r="P104" s="0" t="str">
        <f aca="true">IF('Campaign Overview'!A48="","",COUNTIFS('Raw GHL Data'!C:C,'Campaign Overview'!A48,'Raw GHL Data'!H:H,"&gt;="&amp;TODAY()-30))</f>
        <v/>
      </c>
      <c r="Q104" s="21" t="str">
        <f aca="false">IF(OR('Campaign Overview'!A48="",M104=0),"",P104/M104)</f>
        <v/>
      </c>
    </row>
    <row r="105" customFormat="false" ht="15" hidden="false" customHeight="false" outlineLevel="0" collapsed="false">
      <c r="K105" s="0" t="str">
        <f aca="false">IF('Campaign Overview'!A49="","",'Campaign Overview'!A49)</f>
        <v/>
      </c>
      <c r="L105" s="0" t="str">
        <f aca="false">IF('Campaign Overview'!A49="","",'Campaign Overview'!B49)</f>
        <v/>
      </c>
      <c r="M105" s="0" t="str">
        <f aca="true">IF('Campaign Overview'!A49="","",COUNTIFS('Raw SmartLead Replies'!A:A,'Campaign Overview'!A49,'Raw SmartLead Replies'!F:F,"&gt;="&amp;TODAY()-30))</f>
        <v/>
      </c>
      <c r="N105" s="0" t="str">
        <f aca="true">IF('Campaign Overview'!A49="","",COUNTIFS('Raw SmartLead Replies'!A:A,'Campaign Overview'!A49,'Raw SmartLead Replies'!G:G,"Interested",'Raw SmartLead Replies'!F:F,"&gt;="&amp;TODAY()-30))</f>
        <v/>
      </c>
      <c r="O105" s="0" t="str">
        <f aca="true">IF('Campaign Overview'!A49="","",COUNTIFS('Raw GHL Data'!C:C,'Campaign Overview'!A49,'Raw GHL Data'!E:E,"&gt;="&amp;TODAY()-30))</f>
        <v/>
      </c>
      <c r="P105" s="0" t="str">
        <f aca="true">IF('Campaign Overview'!A49="","",COUNTIFS('Raw GHL Data'!C:C,'Campaign Overview'!A49,'Raw GHL Data'!H:H,"&gt;="&amp;TODAY()-30))</f>
        <v/>
      </c>
      <c r="Q105" s="21" t="str">
        <f aca="false">IF(OR('Campaign Overview'!A49="",M105=0),"",P105/M105)</f>
        <v/>
      </c>
    </row>
    <row r="106" customFormat="false" ht="15" hidden="false" customHeight="false" outlineLevel="0" collapsed="false">
      <c r="K106" s="0" t="str">
        <f aca="false">IF('Campaign Overview'!A50="","",'Campaign Overview'!A50)</f>
        <v/>
      </c>
      <c r="L106" s="0" t="str">
        <f aca="false">IF('Campaign Overview'!A50="","",'Campaign Overview'!B50)</f>
        <v/>
      </c>
      <c r="M106" s="0" t="str">
        <f aca="true">IF('Campaign Overview'!A50="","",COUNTIFS('Raw SmartLead Replies'!A:A,'Campaign Overview'!A50,'Raw SmartLead Replies'!F:F,"&gt;="&amp;TODAY()-30))</f>
        <v/>
      </c>
      <c r="N106" s="0" t="str">
        <f aca="true">IF('Campaign Overview'!A50="","",COUNTIFS('Raw SmartLead Replies'!A:A,'Campaign Overview'!A50,'Raw SmartLead Replies'!G:G,"Interested",'Raw SmartLead Replies'!F:F,"&gt;="&amp;TODAY()-30))</f>
        <v/>
      </c>
      <c r="O106" s="0" t="str">
        <f aca="true">IF('Campaign Overview'!A50="","",COUNTIFS('Raw GHL Data'!C:C,'Campaign Overview'!A50,'Raw GHL Data'!E:E,"&gt;="&amp;TODAY()-30))</f>
        <v/>
      </c>
      <c r="P106" s="0" t="str">
        <f aca="true">IF('Campaign Overview'!A50="","",COUNTIFS('Raw GHL Data'!C:C,'Campaign Overview'!A50,'Raw GHL Data'!H:H,"&gt;="&amp;TODAY()-30))</f>
        <v/>
      </c>
      <c r="Q106" s="21" t="str">
        <f aca="false">IF(OR('Campaign Overview'!A50="",M106=0),"",P106/M106)</f>
        <v/>
      </c>
    </row>
    <row r="107" customFormat="false" ht="15" hidden="false" customHeight="false" outlineLevel="0" collapsed="false">
      <c r="K107" s="0" t="str">
        <f aca="false">IF('Campaign Overview'!A51="","",'Campaign Overview'!A51)</f>
        <v/>
      </c>
      <c r="L107" s="0" t="str">
        <f aca="false">IF('Campaign Overview'!A51="","",'Campaign Overview'!B51)</f>
        <v/>
      </c>
      <c r="M107" s="0" t="str">
        <f aca="true">IF('Campaign Overview'!A51="","",COUNTIFS('Raw SmartLead Replies'!A:A,'Campaign Overview'!A51,'Raw SmartLead Replies'!F:F,"&gt;="&amp;TODAY()-30))</f>
        <v/>
      </c>
      <c r="N107" s="0" t="str">
        <f aca="true">IF('Campaign Overview'!A51="","",COUNTIFS('Raw SmartLead Replies'!A:A,'Campaign Overview'!A51,'Raw SmartLead Replies'!G:G,"Interested",'Raw SmartLead Replies'!F:F,"&gt;="&amp;TODAY()-30))</f>
        <v/>
      </c>
      <c r="O107" s="0" t="str">
        <f aca="true">IF('Campaign Overview'!A51="","",COUNTIFS('Raw GHL Data'!C:C,'Campaign Overview'!A51,'Raw GHL Data'!E:E,"&gt;="&amp;TODAY()-30))</f>
        <v/>
      </c>
      <c r="P107" s="0" t="str">
        <f aca="true">IF('Campaign Overview'!A51="","",COUNTIFS('Raw GHL Data'!C:C,'Campaign Overview'!A51,'Raw GHL Data'!H:H,"&gt;="&amp;TODAY()-30))</f>
        <v/>
      </c>
      <c r="Q107" s="21" t="str">
        <f aca="false">IF(OR('Campaign Overview'!A51="",M107=0),"",P107/M107)</f>
        <v/>
      </c>
    </row>
    <row r="108" customFormat="false" ht="21.75" hidden="false" customHeight="true" outlineLevel="0" collapsed="false">
      <c r="A108" s="18" t="s">
        <v>92</v>
      </c>
      <c r="B108" s="18"/>
      <c r="C108" s="18"/>
      <c r="D108" s="18"/>
      <c r="E108" s="18"/>
      <c r="F108" s="18"/>
      <c r="G108" s="18"/>
      <c r="H108" s="18"/>
      <c r="K108" s="0" t="str">
        <f aca="false">IF('Campaign Overview'!A52="","",'Campaign Overview'!A52)</f>
        <v/>
      </c>
      <c r="L108" s="0" t="str">
        <f aca="false">IF('Campaign Overview'!A52="","",'Campaign Overview'!B52)</f>
        <v/>
      </c>
      <c r="M108" s="0" t="str">
        <f aca="true">IF('Campaign Overview'!A52="","",COUNTIFS('Raw SmartLead Replies'!A:A,'Campaign Overview'!A52,'Raw SmartLead Replies'!F:F,"&gt;="&amp;TODAY()-30))</f>
        <v/>
      </c>
      <c r="N108" s="0" t="str">
        <f aca="true">IF('Campaign Overview'!A52="","",COUNTIFS('Raw SmartLead Replies'!A:A,'Campaign Overview'!A52,'Raw SmartLead Replies'!G:G,"Interested",'Raw SmartLead Replies'!F:F,"&gt;="&amp;TODAY()-30))</f>
        <v/>
      </c>
      <c r="O108" s="0" t="str">
        <f aca="true">IF('Campaign Overview'!A52="","",COUNTIFS('Raw GHL Data'!C:C,'Campaign Overview'!A52,'Raw GHL Data'!E:E,"&gt;="&amp;TODAY()-30))</f>
        <v/>
      </c>
      <c r="P108" s="0" t="str">
        <f aca="true">IF('Campaign Overview'!A52="","",COUNTIFS('Raw GHL Data'!C:C,'Campaign Overview'!A52,'Raw GHL Data'!H:H,"&gt;="&amp;TODAY()-30))</f>
        <v/>
      </c>
      <c r="Q108" s="21" t="str">
        <f aca="false">IF(OR('Campaign Overview'!A52="",M108=0),"",P108/M108)</f>
        <v/>
      </c>
    </row>
    <row r="109" customFormat="false" ht="30" hidden="false" customHeight="true" outlineLevel="0" collapsed="false">
      <c r="A109" s="19" t="s">
        <v>88</v>
      </c>
      <c r="B109" s="19" t="s">
        <v>41</v>
      </c>
      <c r="C109" s="19" t="s">
        <v>42</v>
      </c>
      <c r="D109" s="19" t="s">
        <v>58</v>
      </c>
      <c r="E109" s="19" t="s">
        <v>89</v>
      </c>
      <c r="F109" s="19" t="s">
        <v>79</v>
      </c>
      <c r="G109" s="19" t="s">
        <v>90</v>
      </c>
      <c r="H109" s="19" t="s">
        <v>83</v>
      </c>
      <c r="K109" s="0" t="str">
        <f aca="false">IF('Campaign Overview'!A53="","",'Campaign Overview'!A53)</f>
        <v/>
      </c>
      <c r="L109" s="0" t="str">
        <f aca="false">IF('Campaign Overview'!A53="","",'Campaign Overview'!B53)</f>
        <v/>
      </c>
      <c r="M109" s="0" t="str">
        <f aca="true">IF('Campaign Overview'!A53="","",COUNTIFS('Raw SmartLead Replies'!A:A,'Campaign Overview'!A53,'Raw SmartLead Replies'!F:F,"&gt;="&amp;TODAY()-30))</f>
        <v/>
      </c>
      <c r="N109" s="0" t="str">
        <f aca="true">IF('Campaign Overview'!A53="","",COUNTIFS('Raw SmartLead Replies'!A:A,'Campaign Overview'!A53,'Raw SmartLead Replies'!G:G,"Interested",'Raw SmartLead Replies'!F:F,"&gt;="&amp;TODAY()-30))</f>
        <v/>
      </c>
      <c r="O109" s="0" t="str">
        <f aca="true">IF('Campaign Overview'!A53="","",COUNTIFS('Raw GHL Data'!C:C,'Campaign Overview'!A53,'Raw GHL Data'!E:E,"&gt;="&amp;TODAY()-30))</f>
        <v/>
      </c>
      <c r="P109" s="0" t="str">
        <f aca="true">IF('Campaign Overview'!A53="","",COUNTIFS('Raw GHL Data'!C:C,'Campaign Overview'!A53,'Raw GHL Data'!H:H,"&gt;="&amp;TODAY()-30))</f>
        <v/>
      </c>
      <c r="Q109" s="21" t="str">
        <f aca="false">IF(OR('Campaign Overview'!A53="",M109=0),"",P109/M109)</f>
        <v/>
      </c>
    </row>
    <row r="110" customFormat="false" ht="15" hidden="false" customHeight="false" outlineLevel="0" collapsed="false">
      <c r="A110" s="0" t="str">
        <f aca="false">IFERROR(arrayformula(IF(LEN(B110:B359),"Past 90 Days","")),"")</f>
        <v/>
      </c>
      <c r="B110" s="0" t="e">
        <f aca="false">IFERROR(filter({K111:K360,L111:L360,M111:M360,N111:N360,O111:O360,P111:P360,Q111:Q360},M111:M360&gt;0,K111:K360&lt;&gt;""),"(no campaigns with activity in this period)")</f>
        <v>#N/A</v>
      </c>
      <c r="K110" s="20" t="s">
        <v>41</v>
      </c>
      <c r="L110" s="20" t="s">
        <v>42</v>
      </c>
      <c r="M110" s="20" t="s">
        <v>58</v>
      </c>
      <c r="N110" s="20" t="s">
        <v>89</v>
      </c>
      <c r="O110" s="20" t="s">
        <v>79</v>
      </c>
      <c r="P110" s="20" t="s">
        <v>90</v>
      </c>
      <c r="Q110" s="22" t="s">
        <v>83</v>
      </c>
    </row>
    <row r="111" customFormat="false" ht="15" hidden="false" customHeight="false" outlineLevel="0" collapsed="false">
      <c r="K111" s="0" t="n">
        <f aca="false">IF('Campaign Overview'!A3="","",'Campaign Overview'!A3)</f>
        <v>3134980</v>
      </c>
      <c r="L111" s="0" t="str">
        <f aca="false">IF('Campaign Overview'!A3="","",'Campaign Overview'!B3)</f>
        <v>60 Day Ads - Bathroom Renovations (USA)</v>
      </c>
      <c r="M111" s="0" t="n">
        <f aca="true">IF('Campaign Overview'!A3="","",COUNTIFS('Raw SmartLead Replies'!A:A,'Campaign Overview'!A3,'Raw SmartLead Replies'!F:F,"&gt;="&amp;TODAY()-90))</f>
        <v>0</v>
      </c>
      <c r="N111" s="0" t="n">
        <f aca="true">IF('Campaign Overview'!A3="","",COUNTIFS('Raw SmartLead Replies'!A:A,'Campaign Overview'!A3,'Raw SmartLead Replies'!G:G,"Interested",'Raw SmartLead Replies'!F:F,"&gt;="&amp;TODAY()-90))</f>
        <v>0</v>
      </c>
      <c r="O111" s="0" t="n">
        <f aca="true">IF('Campaign Overview'!A3="","",COUNTIFS('Raw GHL Data'!C:C,'Campaign Overview'!A3,'Raw GHL Data'!E:E,"&gt;="&amp;TODAY()-90))</f>
        <v>0</v>
      </c>
      <c r="P111" s="0" t="n">
        <f aca="true">IF('Campaign Overview'!A3="","",COUNTIFS('Raw GHL Data'!C:C,'Campaign Overview'!A3,'Raw GHL Data'!H:H,"&gt;="&amp;TODAY()-90))</f>
        <v>0</v>
      </c>
      <c r="Q111" s="21" t="str">
        <f aca="false">IF(OR('Campaign Overview'!A3="",M111=0),"",P111/M111)</f>
        <v/>
      </c>
    </row>
    <row r="112" customFormat="false" ht="15" hidden="false" customHeight="false" outlineLevel="0" collapsed="false">
      <c r="K112" s="0" t="n">
        <f aca="false">IF('Campaign Overview'!A4="","",'Campaign Overview'!A4)</f>
        <v>3134858</v>
      </c>
      <c r="L112" s="0" t="str">
        <f aca="false">IF('Campaign Overview'!A4="","",'Campaign Overview'!B4)</f>
        <v>60 Day Ads - General Construction USA (Tulsa, Tampa, Cincinnati)</v>
      </c>
      <c r="M112" s="0" t="n">
        <f aca="true">IF('Campaign Overview'!A4="","",COUNTIFS('Raw SmartLead Replies'!A:A,'Campaign Overview'!A4,'Raw SmartLead Replies'!F:F,"&gt;="&amp;TODAY()-90))</f>
        <v>0</v>
      </c>
      <c r="N112" s="0" t="n">
        <f aca="true">IF('Campaign Overview'!A4="","",COUNTIFS('Raw SmartLead Replies'!A:A,'Campaign Overview'!A4,'Raw SmartLead Replies'!G:G,"Interested",'Raw SmartLead Replies'!F:F,"&gt;="&amp;TODAY()-90))</f>
        <v>0</v>
      </c>
      <c r="O112" s="0" t="n">
        <f aca="true">IF('Campaign Overview'!A4="","",COUNTIFS('Raw GHL Data'!C:C,'Campaign Overview'!A4,'Raw GHL Data'!E:E,"&gt;="&amp;TODAY()-90))</f>
        <v>0</v>
      </c>
      <c r="P112" s="0" t="n">
        <f aca="true">IF('Campaign Overview'!A4="","",COUNTIFS('Raw GHL Data'!C:C,'Campaign Overview'!A4,'Raw GHL Data'!H:H,"&gt;="&amp;TODAY()-90))</f>
        <v>0</v>
      </c>
      <c r="Q112" s="21" t="str">
        <f aca="false">IF(OR('Campaign Overview'!A4="",M112=0),"",P112/M112)</f>
        <v/>
      </c>
    </row>
    <row r="113" customFormat="false" ht="15" hidden="false" customHeight="false" outlineLevel="0" collapsed="false">
      <c r="K113" s="0" t="n">
        <f aca="false">IF('Campaign Overview'!A5="","",'Campaign Overview'!A5)</f>
        <v>3072412</v>
      </c>
      <c r="L113" s="0" t="str">
        <f aca="false">IF('Campaign Overview'!A5="","",'Campaign Overview'!B5)</f>
        <v>60 Day Ads - Kitchen Renovators (USA)</v>
      </c>
      <c r="M113" s="0" t="n">
        <f aca="true">IF('Campaign Overview'!A5="","",COUNTIFS('Raw SmartLead Replies'!A:A,'Campaign Overview'!A5,'Raw SmartLead Replies'!F:F,"&gt;="&amp;TODAY()-90))</f>
        <v>0</v>
      </c>
      <c r="N113" s="0" t="n">
        <f aca="true">IF('Campaign Overview'!A5="","",COUNTIFS('Raw SmartLead Replies'!A:A,'Campaign Overview'!A5,'Raw SmartLead Replies'!G:G,"Interested",'Raw SmartLead Replies'!F:F,"&gt;="&amp;TODAY()-90))</f>
        <v>0</v>
      </c>
      <c r="O113" s="0" t="n">
        <f aca="true">IF('Campaign Overview'!A5="","",COUNTIFS('Raw GHL Data'!C:C,'Campaign Overview'!A5,'Raw GHL Data'!E:E,"&gt;="&amp;TODAY()-90))</f>
        <v>0</v>
      </c>
      <c r="P113" s="0" t="n">
        <f aca="true">IF('Campaign Overview'!A5="","",COUNTIFS('Raw GHL Data'!C:C,'Campaign Overview'!A5,'Raw GHL Data'!H:H,"&gt;="&amp;TODAY()-90))</f>
        <v>0</v>
      </c>
      <c r="Q113" s="21" t="str">
        <f aca="false">IF(OR('Campaign Overview'!A5="",M113=0),"",P113/M113)</f>
        <v/>
      </c>
    </row>
    <row r="114" customFormat="false" ht="15" hidden="false" customHeight="false" outlineLevel="0" collapsed="false">
      <c r="K114" s="0" t="n">
        <f aca="false">IF('Campaign Overview'!A6="","",'Campaign Overview'!A6)</f>
        <v>3043415</v>
      </c>
      <c r="L114" s="0" t="str">
        <f aca="false">IF('Campaign Overview'!A6="","",'Campaign Overview'!B6)</f>
        <v>60 Day Ads Offer - USA (LA, Detroit, Colorado Springs) - copy</v>
      </c>
      <c r="M114" s="0" t="n">
        <f aca="true">IF('Campaign Overview'!A6="","",COUNTIFS('Raw SmartLead Replies'!A:A,'Campaign Overview'!A6,'Raw SmartLead Replies'!F:F,"&gt;="&amp;TODAY()-90))</f>
        <v>0</v>
      </c>
      <c r="N114" s="0" t="n">
        <f aca="true">IF('Campaign Overview'!A6="","",COUNTIFS('Raw SmartLead Replies'!A:A,'Campaign Overview'!A6,'Raw SmartLead Replies'!G:G,"Interested",'Raw SmartLead Replies'!F:F,"&gt;="&amp;TODAY()-90))</f>
        <v>0</v>
      </c>
      <c r="O114" s="0" t="n">
        <f aca="true">IF('Campaign Overview'!A6="","",COUNTIFS('Raw GHL Data'!C:C,'Campaign Overview'!A6,'Raw GHL Data'!E:E,"&gt;="&amp;TODAY()-90))</f>
        <v>0</v>
      </c>
      <c r="P114" s="0" t="n">
        <f aca="true">IF('Campaign Overview'!A6="","",COUNTIFS('Raw GHL Data'!C:C,'Campaign Overview'!A6,'Raw GHL Data'!H:H,"&gt;="&amp;TODAY()-90))</f>
        <v>0</v>
      </c>
      <c r="Q114" s="21" t="str">
        <f aca="false">IF(OR('Campaign Overview'!A6="",M114=0),"",P114/M114)</f>
        <v/>
      </c>
    </row>
    <row r="115" customFormat="false" ht="15" hidden="false" customHeight="false" outlineLevel="0" collapsed="false">
      <c r="K115" s="0" t="n">
        <f aca="false">IF('Campaign Overview'!A7="","",'Campaign Overview'!A7)</f>
        <v>2978732</v>
      </c>
      <c r="L115" s="0" t="str">
        <f aca="false">IF('Campaign Overview'!A7="","",'Campaign Overview'!B7)</f>
        <v>Huge USA Lead List - 60 Day Ads Offer (Xander)</v>
      </c>
      <c r="M115" s="0" t="n">
        <f aca="true">IF('Campaign Overview'!A7="","",COUNTIFS('Raw SmartLead Replies'!A:A,'Campaign Overview'!A7,'Raw SmartLead Replies'!F:F,"&gt;="&amp;TODAY()-90))</f>
        <v>0</v>
      </c>
      <c r="N115" s="0" t="n">
        <f aca="true">IF('Campaign Overview'!A7="","",COUNTIFS('Raw SmartLead Replies'!A:A,'Campaign Overview'!A7,'Raw SmartLead Replies'!G:G,"Interested",'Raw SmartLead Replies'!F:F,"&gt;="&amp;TODAY()-90))</f>
        <v>0</v>
      </c>
      <c r="O115" s="0" t="n">
        <f aca="true">IF('Campaign Overview'!A7="","",COUNTIFS('Raw GHL Data'!C:C,'Campaign Overview'!A7,'Raw GHL Data'!E:E,"&gt;="&amp;TODAY()-90))</f>
        <v>0</v>
      </c>
      <c r="P115" s="0" t="n">
        <f aca="true">IF('Campaign Overview'!A7="","",COUNTIFS('Raw GHL Data'!C:C,'Campaign Overview'!A7,'Raw GHL Data'!H:H,"&gt;="&amp;TODAY()-90))</f>
        <v>0</v>
      </c>
      <c r="Q115" s="21" t="str">
        <f aca="false">IF(OR('Campaign Overview'!A7="",M115=0),"",P115/M115)</f>
        <v/>
      </c>
    </row>
    <row r="116" customFormat="false" ht="15" hidden="false" customHeight="false" outlineLevel="0" collapsed="false">
      <c r="K116" s="0" t="str">
        <f aca="false">IF('Campaign Overview'!A8="","",'Campaign Overview'!A8)</f>
        <v/>
      </c>
      <c r="L116" s="0" t="str">
        <f aca="false">IF('Campaign Overview'!A8="","",'Campaign Overview'!B8)</f>
        <v/>
      </c>
      <c r="M116" s="0" t="str">
        <f aca="true">IF('Campaign Overview'!A8="","",COUNTIFS('Raw SmartLead Replies'!A:A,'Campaign Overview'!A8,'Raw SmartLead Replies'!F:F,"&gt;="&amp;TODAY()-90))</f>
        <v/>
      </c>
      <c r="N116" s="0" t="str">
        <f aca="true">IF('Campaign Overview'!A8="","",COUNTIFS('Raw SmartLead Replies'!A:A,'Campaign Overview'!A8,'Raw SmartLead Replies'!G:G,"Interested",'Raw SmartLead Replies'!F:F,"&gt;="&amp;TODAY()-90))</f>
        <v/>
      </c>
      <c r="O116" s="0" t="str">
        <f aca="true">IF('Campaign Overview'!A8="","",COUNTIFS('Raw GHL Data'!C:C,'Campaign Overview'!A8,'Raw GHL Data'!E:E,"&gt;="&amp;TODAY()-90))</f>
        <v/>
      </c>
      <c r="P116" s="0" t="str">
        <f aca="true">IF('Campaign Overview'!A8="","",COUNTIFS('Raw GHL Data'!C:C,'Campaign Overview'!A8,'Raw GHL Data'!H:H,"&gt;="&amp;TODAY()-90))</f>
        <v/>
      </c>
      <c r="Q116" s="21" t="str">
        <f aca="false">IF(OR('Campaign Overview'!A8="",M116=0),"",P116/M116)</f>
        <v/>
      </c>
    </row>
    <row r="117" customFormat="false" ht="15" hidden="false" customHeight="false" outlineLevel="0" collapsed="false">
      <c r="K117" s="0" t="str">
        <f aca="false">IF('Campaign Overview'!A9="","",'Campaign Overview'!A9)</f>
        <v/>
      </c>
      <c r="L117" s="0" t="str">
        <f aca="false">IF('Campaign Overview'!A9="","",'Campaign Overview'!B9)</f>
        <v/>
      </c>
      <c r="M117" s="0" t="str">
        <f aca="true">IF('Campaign Overview'!A9="","",COUNTIFS('Raw SmartLead Replies'!A:A,'Campaign Overview'!A9,'Raw SmartLead Replies'!F:F,"&gt;="&amp;TODAY()-90))</f>
        <v/>
      </c>
      <c r="N117" s="0" t="str">
        <f aca="true">IF('Campaign Overview'!A9="","",COUNTIFS('Raw SmartLead Replies'!A:A,'Campaign Overview'!A9,'Raw SmartLead Replies'!G:G,"Interested",'Raw SmartLead Replies'!F:F,"&gt;="&amp;TODAY()-90))</f>
        <v/>
      </c>
      <c r="O117" s="0" t="str">
        <f aca="true">IF('Campaign Overview'!A9="","",COUNTIFS('Raw GHL Data'!C:C,'Campaign Overview'!A9,'Raw GHL Data'!E:E,"&gt;="&amp;TODAY()-90))</f>
        <v/>
      </c>
      <c r="P117" s="0" t="str">
        <f aca="true">IF('Campaign Overview'!A9="","",COUNTIFS('Raw GHL Data'!C:C,'Campaign Overview'!A9,'Raw GHL Data'!H:H,"&gt;="&amp;TODAY()-90))</f>
        <v/>
      </c>
      <c r="Q117" s="21" t="str">
        <f aca="false">IF(OR('Campaign Overview'!A9="",M117=0),"",P117/M117)</f>
        <v/>
      </c>
    </row>
    <row r="118" customFormat="false" ht="15" hidden="false" customHeight="false" outlineLevel="0" collapsed="false">
      <c r="K118" s="0" t="str">
        <f aca="false">IF('Campaign Overview'!A10="","",'Campaign Overview'!A10)</f>
        <v/>
      </c>
      <c r="L118" s="0" t="str">
        <f aca="false">IF('Campaign Overview'!A10="","",'Campaign Overview'!B10)</f>
        <v/>
      </c>
      <c r="M118" s="0" t="str">
        <f aca="true">IF('Campaign Overview'!A10="","",COUNTIFS('Raw SmartLead Replies'!A:A,'Campaign Overview'!A10,'Raw SmartLead Replies'!F:F,"&gt;="&amp;TODAY()-90))</f>
        <v/>
      </c>
      <c r="N118" s="0" t="str">
        <f aca="true">IF('Campaign Overview'!A10="","",COUNTIFS('Raw SmartLead Replies'!A:A,'Campaign Overview'!A10,'Raw SmartLead Replies'!G:G,"Interested",'Raw SmartLead Replies'!F:F,"&gt;="&amp;TODAY()-90))</f>
        <v/>
      </c>
      <c r="O118" s="0" t="str">
        <f aca="true">IF('Campaign Overview'!A10="","",COUNTIFS('Raw GHL Data'!C:C,'Campaign Overview'!A10,'Raw GHL Data'!E:E,"&gt;="&amp;TODAY()-90))</f>
        <v/>
      </c>
      <c r="P118" s="0" t="str">
        <f aca="true">IF('Campaign Overview'!A10="","",COUNTIFS('Raw GHL Data'!C:C,'Campaign Overview'!A10,'Raw GHL Data'!H:H,"&gt;="&amp;TODAY()-90))</f>
        <v/>
      </c>
      <c r="Q118" s="21" t="str">
        <f aca="false">IF(OR('Campaign Overview'!A10="",M118=0),"",P118/M118)</f>
        <v/>
      </c>
    </row>
    <row r="119" customFormat="false" ht="15" hidden="false" customHeight="false" outlineLevel="0" collapsed="false">
      <c r="K119" s="0" t="str">
        <f aca="false">IF('Campaign Overview'!A11="","",'Campaign Overview'!A11)</f>
        <v/>
      </c>
      <c r="L119" s="0" t="str">
        <f aca="false">IF('Campaign Overview'!A11="","",'Campaign Overview'!B11)</f>
        <v/>
      </c>
      <c r="M119" s="0" t="str">
        <f aca="true">IF('Campaign Overview'!A11="","",COUNTIFS('Raw SmartLead Replies'!A:A,'Campaign Overview'!A11,'Raw SmartLead Replies'!F:F,"&gt;="&amp;TODAY()-90))</f>
        <v/>
      </c>
      <c r="N119" s="0" t="str">
        <f aca="true">IF('Campaign Overview'!A11="","",COUNTIFS('Raw SmartLead Replies'!A:A,'Campaign Overview'!A11,'Raw SmartLead Replies'!G:G,"Interested",'Raw SmartLead Replies'!F:F,"&gt;="&amp;TODAY()-90))</f>
        <v/>
      </c>
      <c r="O119" s="0" t="str">
        <f aca="true">IF('Campaign Overview'!A11="","",COUNTIFS('Raw GHL Data'!C:C,'Campaign Overview'!A11,'Raw GHL Data'!E:E,"&gt;="&amp;TODAY()-90))</f>
        <v/>
      </c>
      <c r="P119" s="0" t="str">
        <f aca="true">IF('Campaign Overview'!A11="","",COUNTIFS('Raw GHL Data'!C:C,'Campaign Overview'!A11,'Raw GHL Data'!H:H,"&gt;="&amp;TODAY()-90))</f>
        <v/>
      </c>
      <c r="Q119" s="21" t="str">
        <f aca="false">IF(OR('Campaign Overview'!A11="",M119=0),"",P119/M119)</f>
        <v/>
      </c>
    </row>
    <row r="120" customFormat="false" ht="15" hidden="false" customHeight="false" outlineLevel="0" collapsed="false">
      <c r="K120" s="0" t="str">
        <f aca="false">IF('Campaign Overview'!A12="","",'Campaign Overview'!A12)</f>
        <v/>
      </c>
      <c r="L120" s="0" t="str">
        <f aca="false">IF('Campaign Overview'!A12="","",'Campaign Overview'!B12)</f>
        <v/>
      </c>
      <c r="M120" s="0" t="str">
        <f aca="true">IF('Campaign Overview'!A12="","",COUNTIFS('Raw SmartLead Replies'!A:A,'Campaign Overview'!A12,'Raw SmartLead Replies'!F:F,"&gt;="&amp;TODAY()-90))</f>
        <v/>
      </c>
      <c r="N120" s="0" t="str">
        <f aca="true">IF('Campaign Overview'!A12="","",COUNTIFS('Raw SmartLead Replies'!A:A,'Campaign Overview'!A12,'Raw SmartLead Replies'!G:G,"Interested",'Raw SmartLead Replies'!F:F,"&gt;="&amp;TODAY()-90))</f>
        <v/>
      </c>
      <c r="O120" s="0" t="str">
        <f aca="true">IF('Campaign Overview'!A12="","",COUNTIFS('Raw GHL Data'!C:C,'Campaign Overview'!A12,'Raw GHL Data'!E:E,"&gt;="&amp;TODAY()-90))</f>
        <v/>
      </c>
      <c r="P120" s="0" t="str">
        <f aca="true">IF('Campaign Overview'!A12="","",COUNTIFS('Raw GHL Data'!C:C,'Campaign Overview'!A12,'Raw GHL Data'!H:H,"&gt;="&amp;TODAY()-90))</f>
        <v/>
      </c>
      <c r="Q120" s="21" t="str">
        <f aca="false">IF(OR('Campaign Overview'!A12="",M120=0),"",P120/M120)</f>
        <v/>
      </c>
    </row>
    <row r="121" customFormat="false" ht="15" hidden="false" customHeight="false" outlineLevel="0" collapsed="false">
      <c r="K121" s="0" t="str">
        <f aca="false">IF('Campaign Overview'!A13="","",'Campaign Overview'!A13)</f>
        <v/>
      </c>
      <c r="L121" s="0" t="str">
        <f aca="false">IF('Campaign Overview'!A13="","",'Campaign Overview'!B13)</f>
        <v/>
      </c>
      <c r="M121" s="0" t="str">
        <f aca="true">IF('Campaign Overview'!A13="","",COUNTIFS('Raw SmartLead Replies'!A:A,'Campaign Overview'!A13,'Raw SmartLead Replies'!F:F,"&gt;="&amp;TODAY()-90))</f>
        <v/>
      </c>
      <c r="N121" s="0" t="str">
        <f aca="true">IF('Campaign Overview'!A13="","",COUNTIFS('Raw SmartLead Replies'!A:A,'Campaign Overview'!A13,'Raw SmartLead Replies'!G:G,"Interested",'Raw SmartLead Replies'!F:F,"&gt;="&amp;TODAY()-90))</f>
        <v/>
      </c>
      <c r="O121" s="0" t="str">
        <f aca="true">IF('Campaign Overview'!A13="","",COUNTIFS('Raw GHL Data'!C:C,'Campaign Overview'!A13,'Raw GHL Data'!E:E,"&gt;="&amp;TODAY()-90))</f>
        <v/>
      </c>
      <c r="P121" s="0" t="str">
        <f aca="true">IF('Campaign Overview'!A13="","",COUNTIFS('Raw GHL Data'!C:C,'Campaign Overview'!A13,'Raw GHL Data'!H:H,"&gt;="&amp;TODAY()-90))</f>
        <v/>
      </c>
      <c r="Q121" s="21" t="str">
        <f aca="false">IF(OR('Campaign Overview'!A13="",M121=0),"",P121/M121)</f>
        <v/>
      </c>
    </row>
    <row r="122" customFormat="false" ht="15" hidden="false" customHeight="false" outlineLevel="0" collapsed="false">
      <c r="K122" s="0" t="str">
        <f aca="false">IF('Campaign Overview'!A14="","",'Campaign Overview'!A14)</f>
        <v/>
      </c>
      <c r="L122" s="0" t="str">
        <f aca="false">IF('Campaign Overview'!A14="","",'Campaign Overview'!B14)</f>
        <v/>
      </c>
      <c r="M122" s="0" t="str">
        <f aca="true">IF('Campaign Overview'!A14="","",COUNTIFS('Raw SmartLead Replies'!A:A,'Campaign Overview'!A14,'Raw SmartLead Replies'!F:F,"&gt;="&amp;TODAY()-90))</f>
        <v/>
      </c>
      <c r="N122" s="0" t="str">
        <f aca="true">IF('Campaign Overview'!A14="","",COUNTIFS('Raw SmartLead Replies'!A:A,'Campaign Overview'!A14,'Raw SmartLead Replies'!G:G,"Interested",'Raw SmartLead Replies'!F:F,"&gt;="&amp;TODAY()-90))</f>
        <v/>
      </c>
      <c r="O122" s="0" t="str">
        <f aca="true">IF('Campaign Overview'!A14="","",COUNTIFS('Raw GHL Data'!C:C,'Campaign Overview'!A14,'Raw GHL Data'!E:E,"&gt;="&amp;TODAY()-90))</f>
        <v/>
      </c>
      <c r="P122" s="0" t="str">
        <f aca="true">IF('Campaign Overview'!A14="","",COUNTIFS('Raw GHL Data'!C:C,'Campaign Overview'!A14,'Raw GHL Data'!H:H,"&gt;="&amp;TODAY()-90))</f>
        <v/>
      </c>
      <c r="Q122" s="21" t="str">
        <f aca="false">IF(OR('Campaign Overview'!A14="",M122=0),"",P122/M122)</f>
        <v/>
      </c>
    </row>
    <row r="123" customFormat="false" ht="15" hidden="false" customHeight="false" outlineLevel="0" collapsed="false">
      <c r="K123" s="0" t="str">
        <f aca="false">IF('Campaign Overview'!A15="","",'Campaign Overview'!A15)</f>
        <v/>
      </c>
      <c r="L123" s="0" t="str">
        <f aca="false">IF('Campaign Overview'!A15="","",'Campaign Overview'!B15)</f>
        <v/>
      </c>
      <c r="M123" s="0" t="str">
        <f aca="true">IF('Campaign Overview'!A15="","",COUNTIFS('Raw SmartLead Replies'!A:A,'Campaign Overview'!A15,'Raw SmartLead Replies'!F:F,"&gt;="&amp;TODAY()-90))</f>
        <v/>
      </c>
      <c r="N123" s="0" t="str">
        <f aca="true">IF('Campaign Overview'!A15="","",COUNTIFS('Raw SmartLead Replies'!A:A,'Campaign Overview'!A15,'Raw SmartLead Replies'!G:G,"Interested",'Raw SmartLead Replies'!F:F,"&gt;="&amp;TODAY()-90))</f>
        <v/>
      </c>
      <c r="O123" s="0" t="str">
        <f aca="true">IF('Campaign Overview'!A15="","",COUNTIFS('Raw GHL Data'!C:C,'Campaign Overview'!A15,'Raw GHL Data'!E:E,"&gt;="&amp;TODAY()-90))</f>
        <v/>
      </c>
      <c r="P123" s="0" t="str">
        <f aca="true">IF('Campaign Overview'!A15="","",COUNTIFS('Raw GHL Data'!C:C,'Campaign Overview'!A15,'Raw GHL Data'!H:H,"&gt;="&amp;TODAY()-90))</f>
        <v/>
      </c>
      <c r="Q123" s="21" t="str">
        <f aca="false">IF(OR('Campaign Overview'!A15="",M123=0),"",P123/M123)</f>
        <v/>
      </c>
    </row>
    <row r="124" customFormat="false" ht="15" hidden="false" customHeight="false" outlineLevel="0" collapsed="false">
      <c r="K124" s="0" t="str">
        <f aca="false">IF('Campaign Overview'!A16="","",'Campaign Overview'!A16)</f>
        <v/>
      </c>
      <c r="L124" s="0" t="str">
        <f aca="false">IF('Campaign Overview'!A16="","",'Campaign Overview'!B16)</f>
        <v/>
      </c>
      <c r="M124" s="0" t="str">
        <f aca="true">IF('Campaign Overview'!A16="","",COUNTIFS('Raw SmartLead Replies'!A:A,'Campaign Overview'!A16,'Raw SmartLead Replies'!F:F,"&gt;="&amp;TODAY()-90))</f>
        <v/>
      </c>
      <c r="N124" s="0" t="str">
        <f aca="true">IF('Campaign Overview'!A16="","",COUNTIFS('Raw SmartLead Replies'!A:A,'Campaign Overview'!A16,'Raw SmartLead Replies'!G:G,"Interested",'Raw SmartLead Replies'!F:F,"&gt;="&amp;TODAY()-90))</f>
        <v/>
      </c>
      <c r="O124" s="0" t="str">
        <f aca="true">IF('Campaign Overview'!A16="","",COUNTIFS('Raw GHL Data'!C:C,'Campaign Overview'!A16,'Raw GHL Data'!E:E,"&gt;="&amp;TODAY()-90))</f>
        <v/>
      </c>
      <c r="P124" s="0" t="str">
        <f aca="true">IF('Campaign Overview'!A16="","",COUNTIFS('Raw GHL Data'!C:C,'Campaign Overview'!A16,'Raw GHL Data'!H:H,"&gt;="&amp;TODAY()-90))</f>
        <v/>
      </c>
      <c r="Q124" s="21" t="str">
        <f aca="false">IF(OR('Campaign Overview'!A16="",M124=0),"",P124/M124)</f>
        <v/>
      </c>
    </row>
    <row r="125" customFormat="false" ht="15" hidden="false" customHeight="false" outlineLevel="0" collapsed="false">
      <c r="K125" s="0" t="str">
        <f aca="false">IF('Campaign Overview'!A17="","",'Campaign Overview'!A17)</f>
        <v/>
      </c>
      <c r="L125" s="0" t="str">
        <f aca="false">IF('Campaign Overview'!A17="","",'Campaign Overview'!B17)</f>
        <v/>
      </c>
      <c r="M125" s="0" t="str">
        <f aca="true">IF('Campaign Overview'!A17="","",COUNTIFS('Raw SmartLead Replies'!A:A,'Campaign Overview'!A17,'Raw SmartLead Replies'!F:F,"&gt;="&amp;TODAY()-90))</f>
        <v/>
      </c>
      <c r="N125" s="0" t="str">
        <f aca="true">IF('Campaign Overview'!A17="","",COUNTIFS('Raw SmartLead Replies'!A:A,'Campaign Overview'!A17,'Raw SmartLead Replies'!G:G,"Interested",'Raw SmartLead Replies'!F:F,"&gt;="&amp;TODAY()-90))</f>
        <v/>
      </c>
      <c r="O125" s="0" t="str">
        <f aca="true">IF('Campaign Overview'!A17="","",COUNTIFS('Raw GHL Data'!C:C,'Campaign Overview'!A17,'Raw GHL Data'!E:E,"&gt;="&amp;TODAY()-90))</f>
        <v/>
      </c>
      <c r="P125" s="0" t="str">
        <f aca="true">IF('Campaign Overview'!A17="","",COUNTIFS('Raw GHL Data'!C:C,'Campaign Overview'!A17,'Raw GHL Data'!H:H,"&gt;="&amp;TODAY()-90))</f>
        <v/>
      </c>
      <c r="Q125" s="21" t="str">
        <f aca="false">IF(OR('Campaign Overview'!A17="",M125=0),"",P125/M125)</f>
        <v/>
      </c>
    </row>
    <row r="126" customFormat="false" ht="15" hidden="false" customHeight="false" outlineLevel="0" collapsed="false">
      <c r="K126" s="0" t="str">
        <f aca="false">IF('Campaign Overview'!A18="","",'Campaign Overview'!A18)</f>
        <v/>
      </c>
      <c r="L126" s="0" t="str">
        <f aca="false">IF('Campaign Overview'!A18="","",'Campaign Overview'!B18)</f>
        <v/>
      </c>
      <c r="M126" s="0" t="str">
        <f aca="true">IF('Campaign Overview'!A18="","",COUNTIFS('Raw SmartLead Replies'!A:A,'Campaign Overview'!A18,'Raw SmartLead Replies'!F:F,"&gt;="&amp;TODAY()-90))</f>
        <v/>
      </c>
      <c r="N126" s="0" t="str">
        <f aca="true">IF('Campaign Overview'!A18="","",COUNTIFS('Raw SmartLead Replies'!A:A,'Campaign Overview'!A18,'Raw SmartLead Replies'!G:G,"Interested",'Raw SmartLead Replies'!F:F,"&gt;="&amp;TODAY()-90))</f>
        <v/>
      </c>
      <c r="O126" s="0" t="str">
        <f aca="true">IF('Campaign Overview'!A18="","",COUNTIFS('Raw GHL Data'!C:C,'Campaign Overview'!A18,'Raw GHL Data'!E:E,"&gt;="&amp;TODAY()-90))</f>
        <v/>
      </c>
      <c r="P126" s="0" t="str">
        <f aca="true">IF('Campaign Overview'!A18="","",COUNTIFS('Raw GHL Data'!C:C,'Campaign Overview'!A18,'Raw GHL Data'!H:H,"&gt;="&amp;TODAY()-90))</f>
        <v/>
      </c>
      <c r="Q126" s="21" t="str">
        <f aca="false">IF(OR('Campaign Overview'!A18="",M126=0),"",P126/M126)</f>
        <v/>
      </c>
    </row>
    <row r="127" customFormat="false" ht="15" hidden="false" customHeight="false" outlineLevel="0" collapsed="false">
      <c r="K127" s="0" t="str">
        <f aca="false">IF('Campaign Overview'!A19="","",'Campaign Overview'!A19)</f>
        <v/>
      </c>
      <c r="L127" s="0" t="str">
        <f aca="false">IF('Campaign Overview'!A19="","",'Campaign Overview'!B19)</f>
        <v/>
      </c>
      <c r="M127" s="0" t="str">
        <f aca="true">IF('Campaign Overview'!A19="","",COUNTIFS('Raw SmartLead Replies'!A:A,'Campaign Overview'!A19,'Raw SmartLead Replies'!F:F,"&gt;="&amp;TODAY()-90))</f>
        <v/>
      </c>
      <c r="N127" s="0" t="str">
        <f aca="true">IF('Campaign Overview'!A19="","",COUNTIFS('Raw SmartLead Replies'!A:A,'Campaign Overview'!A19,'Raw SmartLead Replies'!G:G,"Interested",'Raw SmartLead Replies'!F:F,"&gt;="&amp;TODAY()-90))</f>
        <v/>
      </c>
      <c r="O127" s="0" t="str">
        <f aca="true">IF('Campaign Overview'!A19="","",COUNTIFS('Raw GHL Data'!C:C,'Campaign Overview'!A19,'Raw GHL Data'!E:E,"&gt;="&amp;TODAY()-90))</f>
        <v/>
      </c>
      <c r="P127" s="0" t="str">
        <f aca="true">IF('Campaign Overview'!A19="","",COUNTIFS('Raw GHL Data'!C:C,'Campaign Overview'!A19,'Raw GHL Data'!H:H,"&gt;="&amp;TODAY()-90))</f>
        <v/>
      </c>
      <c r="Q127" s="21" t="str">
        <f aca="false">IF(OR('Campaign Overview'!A19="",M127=0),"",P127/M127)</f>
        <v/>
      </c>
    </row>
    <row r="128" customFormat="false" ht="15" hidden="false" customHeight="false" outlineLevel="0" collapsed="false">
      <c r="K128" s="0" t="str">
        <f aca="false">IF('Campaign Overview'!A20="","",'Campaign Overview'!A20)</f>
        <v/>
      </c>
      <c r="L128" s="0" t="str">
        <f aca="false">IF('Campaign Overview'!A20="","",'Campaign Overview'!B20)</f>
        <v/>
      </c>
      <c r="M128" s="0" t="str">
        <f aca="true">IF('Campaign Overview'!A20="","",COUNTIFS('Raw SmartLead Replies'!A:A,'Campaign Overview'!A20,'Raw SmartLead Replies'!F:F,"&gt;="&amp;TODAY()-90))</f>
        <v/>
      </c>
      <c r="N128" s="0" t="str">
        <f aca="true">IF('Campaign Overview'!A20="","",COUNTIFS('Raw SmartLead Replies'!A:A,'Campaign Overview'!A20,'Raw SmartLead Replies'!G:G,"Interested",'Raw SmartLead Replies'!F:F,"&gt;="&amp;TODAY()-90))</f>
        <v/>
      </c>
      <c r="O128" s="0" t="str">
        <f aca="true">IF('Campaign Overview'!A20="","",COUNTIFS('Raw GHL Data'!C:C,'Campaign Overview'!A20,'Raw GHL Data'!E:E,"&gt;="&amp;TODAY()-90))</f>
        <v/>
      </c>
      <c r="P128" s="0" t="str">
        <f aca="true">IF('Campaign Overview'!A20="","",COUNTIFS('Raw GHL Data'!C:C,'Campaign Overview'!A20,'Raw GHL Data'!H:H,"&gt;="&amp;TODAY()-90))</f>
        <v/>
      </c>
      <c r="Q128" s="21" t="str">
        <f aca="false">IF(OR('Campaign Overview'!A20="",M128=0),"",P128/M128)</f>
        <v/>
      </c>
    </row>
    <row r="129" customFormat="false" ht="15" hidden="false" customHeight="false" outlineLevel="0" collapsed="false">
      <c r="K129" s="0" t="str">
        <f aca="false">IF('Campaign Overview'!A21="","",'Campaign Overview'!A21)</f>
        <v/>
      </c>
      <c r="L129" s="0" t="str">
        <f aca="false">IF('Campaign Overview'!A21="","",'Campaign Overview'!B21)</f>
        <v/>
      </c>
      <c r="M129" s="0" t="str">
        <f aca="true">IF('Campaign Overview'!A21="","",COUNTIFS('Raw SmartLead Replies'!A:A,'Campaign Overview'!A21,'Raw SmartLead Replies'!F:F,"&gt;="&amp;TODAY()-90))</f>
        <v/>
      </c>
      <c r="N129" s="0" t="str">
        <f aca="true">IF('Campaign Overview'!A21="","",COUNTIFS('Raw SmartLead Replies'!A:A,'Campaign Overview'!A21,'Raw SmartLead Replies'!G:G,"Interested",'Raw SmartLead Replies'!F:F,"&gt;="&amp;TODAY()-90))</f>
        <v/>
      </c>
      <c r="O129" s="0" t="str">
        <f aca="true">IF('Campaign Overview'!A21="","",COUNTIFS('Raw GHL Data'!C:C,'Campaign Overview'!A21,'Raw GHL Data'!E:E,"&gt;="&amp;TODAY()-90))</f>
        <v/>
      </c>
      <c r="P129" s="0" t="str">
        <f aca="true">IF('Campaign Overview'!A21="","",COUNTIFS('Raw GHL Data'!C:C,'Campaign Overview'!A21,'Raw GHL Data'!H:H,"&gt;="&amp;TODAY()-90))</f>
        <v/>
      </c>
      <c r="Q129" s="21" t="str">
        <f aca="false">IF(OR('Campaign Overview'!A21="",M129=0),"",P129/M129)</f>
        <v/>
      </c>
    </row>
    <row r="130" customFormat="false" ht="15" hidden="false" customHeight="false" outlineLevel="0" collapsed="false">
      <c r="K130" s="0" t="str">
        <f aca="false">IF('Campaign Overview'!A22="","",'Campaign Overview'!A22)</f>
        <v/>
      </c>
      <c r="L130" s="0" t="str">
        <f aca="false">IF('Campaign Overview'!A22="","",'Campaign Overview'!B22)</f>
        <v/>
      </c>
      <c r="M130" s="0" t="str">
        <f aca="true">IF('Campaign Overview'!A22="","",COUNTIFS('Raw SmartLead Replies'!A:A,'Campaign Overview'!A22,'Raw SmartLead Replies'!F:F,"&gt;="&amp;TODAY()-90))</f>
        <v/>
      </c>
      <c r="N130" s="0" t="str">
        <f aca="true">IF('Campaign Overview'!A22="","",COUNTIFS('Raw SmartLead Replies'!A:A,'Campaign Overview'!A22,'Raw SmartLead Replies'!G:G,"Interested",'Raw SmartLead Replies'!F:F,"&gt;="&amp;TODAY()-90))</f>
        <v/>
      </c>
      <c r="O130" s="0" t="str">
        <f aca="true">IF('Campaign Overview'!A22="","",COUNTIFS('Raw GHL Data'!C:C,'Campaign Overview'!A22,'Raw GHL Data'!E:E,"&gt;="&amp;TODAY()-90))</f>
        <v/>
      </c>
      <c r="P130" s="0" t="str">
        <f aca="true">IF('Campaign Overview'!A22="","",COUNTIFS('Raw GHL Data'!C:C,'Campaign Overview'!A22,'Raw GHL Data'!H:H,"&gt;="&amp;TODAY()-90))</f>
        <v/>
      </c>
      <c r="Q130" s="21" t="str">
        <f aca="false">IF(OR('Campaign Overview'!A22="",M130=0),"",P130/M130)</f>
        <v/>
      </c>
    </row>
    <row r="131" customFormat="false" ht="15" hidden="false" customHeight="false" outlineLevel="0" collapsed="false">
      <c r="K131" s="0" t="str">
        <f aca="false">IF('Campaign Overview'!A23="","",'Campaign Overview'!A23)</f>
        <v/>
      </c>
      <c r="L131" s="0" t="str">
        <f aca="false">IF('Campaign Overview'!A23="","",'Campaign Overview'!B23)</f>
        <v/>
      </c>
      <c r="M131" s="0" t="str">
        <f aca="true">IF('Campaign Overview'!A23="","",COUNTIFS('Raw SmartLead Replies'!A:A,'Campaign Overview'!A23,'Raw SmartLead Replies'!F:F,"&gt;="&amp;TODAY()-90))</f>
        <v/>
      </c>
      <c r="N131" s="0" t="str">
        <f aca="true">IF('Campaign Overview'!A23="","",COUNTIFS('Raw SmartLead Replies'!A:A,'Campaign Overview'!A23,'Raw SmartLead Replies'!G:G,"Interested",'Raw SmartLead Replies'!F:F,"&gt;="&amp;TODAY()-90))</f>
        <v/>
      </c>
      <c r="O131" s="0" t="str">
        <f aca="true">IF('Campaign Overview'!A23="","",COUNTIFS('Raw GHL Data'!C:C,'Campaign Overview'!A23,'Raw GHL Data'!E:E,"&gt;="&amp;TODAY()-90))</f>
        <v/>
      </c>
      <c r="P131" s="0" t="str">
        <f aca="true">IF('Campaign Overview'!A23="","",COUNTIFS('Raw GHL Data'!C:C,'Campaign Overview'!A23,'Raw GHL Data'!H:H,"&gt;="&amp;TODAY()-90))</f>
        <v/>
      </c>
      <c r="Q131" s="21" t="str">
        <f aca="false">IF(OR('Campaign Overview'!A23="",M131=0),"",P131/M131)</f>
        <v/>
      </c>
    </row>
    <row r="132" customFormat="false" ht="15" hidden="false" customHeight="false" outlineLevel="0" collapsed="false">
      <c r="K132" s="0" t="str">
        <f aca="false">IF('Campaign Overview'!A24="","",'Campaign Overview'!A24)</f>
        <v/>
      </c>
      <c r="L132" s="0" t="str">
        <f aca="false">IF('Campaign Overview'!A24="","",'Campaign Overview'!B24)</f>
        <v/>
      </c>
      <c r="M132" s="0" t="str">
        <f aca="true">IF('Campaign Overview'!A24="","",COUNTIFS('Raw SmartLead Replies'!A:A,'Campaign Overview'!A24,'Raw SmartLead Replies'!F:F,"&gt;="&amp;TODAY()-90))</f>
        <v/>
      </c>
      <c r="N132" s="0" t="str">
        <f aca="true">IF('Campaign Overview'!A24="","",COUNTIFS('Raw SmartLead Replies'!A:A,'Campaign Overview'!A24,'Raw SmartLead Replies'!G:G,"Interested",'Raw SmartLead Replies'!F:F,"&gt;="&amp;TODAY()-90))</f>
        <v/>
      </c>
      <c r="O132" s="0" t="str">
        <f aca="true">IF('Campaign Overview'!A24="","",COUNTIFS('Raw GHL Data'!C:C,'Campaign Overview'!A24,'Raw GHL Data'!E:E,"&gt;="&amp;TODAY()-90))</f>
        <v/>
      </c>
      <c r="P132" s="0" t="str">
        <f aca="true">IF('Campaign Overview'!A24="","",COUNTIFS('Raw GHL Data'!C:C,'Campaign Overview'!A24,'Raw GHL Data'!H:H,"&gt;="&amp;TODAY()-90))</f>
        <v/>
      </c>
      <c r="Q132" s="21" t="str">
        <f aca="false">IF(OR('Campaign Overview'!A24="",M132=0),"",P132/M132)</f>
        <v/>
      </c>
    </row>
    <row r="133" customFormat="false" ht="15" hidden="false" customHeight="false" outlineLevel="0" collapsed="false">
      <c r="K133" s="0" t="str">
        <f aca="false">IF('Campaign Overview'!A25="","",'Campaign Overview'!A25)</f>
        <v/>
      </c>
      <c r="L133" s="0" t="str">
        <f aca="false">IF('Campaign Overview'!A25="","",'Campaign Overview'!B25)</f>
        <v/>
      </c>
      <c r="M133" s="0" t="str">
        <f aca="true">IF('Campaign Overview'!A25="","",COUNTIFS('Raw SmartLead Replies'!A:A,'Campaign Overview'!A25,'Raw SmartLead Replies'!F:F,"&gt;="&amp;TODAY()-90))</f>
        <v/>
      </c>
      <c r="N133" s="0" t="str">
        <f aca="true">IF('Campaign Overview'!A25="","",COUNTIFS('Raw SmartLead Replies'!A:A,'Campaign Overview'!A25,'Raw SmartLead Replies'!G:G,"Interested",'Raw SmartLead Replies'!F:F,"&gt;="&amp;TODAY()-90))</f>
        <v/>
      </c>
      <c r="O133" s="0" t="str">
        <f aca="true">IF('Campaign Overview'!A25="","",COUNTIFS('Raw GHL Data'!C:C,'Campaign Overview'!A25,'Raw GHL Data'!E:E,"&gt;="&amp;TODAY()-90))</f>
        <v/>
      </c>
      <c r="P133" s="0" t="str">
        <f aca="true">IF('Campaign Overview'!A25="","",COUNTIFS('Raw GHL Data'!C:C,'Campaign Overview'!A25,'Raw GHL Data'!H:H,"&gt;="&amp;TODAY()-90))</f>
        <v/>
      </c>
      <c r="Q133" s="21" t="str">
        <f aca="false">IF(OR('Campaign Overview'!A25="",M133=0),"",P133/M133)</f>
        <v/>
      </c>
    </row>
    <row r="134" customFormat="false" ht="15" hidden="false" customHeight="false" outlineLevel="0" collapsed="false">
      <c r="K134" s="0" t="str">
        <f aca="false">IF('Campaign Overview'!A26="","",'Campaign Overview'!A26)</f>
        <v/>
      </c>
      <c r="L134" s="0" t="str">
        <f aca="false">IF('Campaign Overview'!A26="","",'Campaign Overview'!B26)</f>
        <v/>
      </c>
      <c r="M134" s="0" t="str">
        <f aca="true">IF('Campaign Overview'!A26="","",COUNTIFS('Raw SmartLead Replies'!A:A,'Campaign Overview'!A26,'Raw SmartLead Replies'!F:F,"&gt;="&amp;TODAY()-90))</f>
        <v/>
      </c>
      <c r="N134" s="0" t="str">
        <f aca="true">IF('Campaign Overview'!A26="","",COUNTIFS('Raw SmartLead Replies'!A:A,'Campaign Overview'!A26,'Raw SmartLead Replies'!G:G,"Interested",'Raw SmartLead Replies'!F:F,"&gt;="&amp;TODAY()-90))</f>
        <v/>
      </c>
      <c r="O134" s="0" t="str">
        <f aca="true">IF('Campaign Overview'!A26="","",COUNTIFS('Raw GHL Data'!C:C,'Campaign Overview'!A26,'Raw GHL Data'!E:E,"&gt;="&amp;TODAY()-90))</f>
        <v/>
      </c>
      <c r="P134" s="0" t="str">
        <f aca="true">IF('Campaign Overview'!A26="","",COUNTIFS('Raw GHL Data'!C:C,'Campaign Overview'!A26,'Raw GHL Data'!H:H,"&gt;="&amp;TODAY()-90))</f>
        <v/>
      </c>
      <c r="Q134" s="21" t="str">
        <f aca="false">IF(OR('Campaign Overview'!A26="",M134=0),"",P134/M134)</f>
        <v/>
      </c>
    </row>
    <row r="135" customFormat="false" ht="15" hidden="false" customHeight="false" outlineLevel="0" collapsed="false">
      <c r="K135" s="0" t="str">
        <f aca="false">IF('Campaign Overview'!A27="","",'Campaign Overview'!A27)</f>
        <v/>
      </c>
      <c r="L135" s="0" t="str">
        <f aca="false">IF('Campaign Overview'!A27="","",'Campaign Overview'!B27)</f>
        <v/>
      </c>
      <c r="M135" s="0" t="str">
        <f aca="true">IF('Campaign Overview'!A27="","",COUNTIFS('Raw SmartLead Replies'!A:A,'Campaign Overview'!A27,'Raw SmartLead Replies'!F:F,"&gt;="&amp;TODAY()-90))</f>
        <v/>
      </c>
      <c r="N135" s="0" t="str">
        <f aca="true">IF('Campaign Overview'!A27="","",COUNTIFS('Raw SmartLead Replies'!A:A,'Campaign Overview'!A27,'Raw SmartLead Replies'!G:G,"Interested",'Raw SmartLead Replies'!F:F,"&gt;="&amp;TODAY()-90))</f>
        <v/>
      </c>
      <c r="O135" s="0" t="str">
        <f aca="true">IF('Campaign Overview'!A27="","",COUNTIFS('Raw GHL Data'!C:C,'Campaign Overview'!A27,'Raw GHL Data'!E:E,"&gt;="&amp;TODAY()-90))</f>
        <v/>
      </c>
      <c r="P135" s="0" t="str">
        <f aca="true">IF('Campaign Overview'!A27="","",COUNTIFS('Raw GHL Data'!C:C,'Campaign Overview'!A27,'Raw GHL Data'!H:H,"&gt;="&amp;TODAY()-90))</f>
        <v/>
      </c>
      <c r="Q135" s="21" t="str">
        <f aca="false">IF(OR('Campaign Overview'!A27="",M135=0),"",P135/M135)</f>
        <v/>
      </c>
    </row>
    <row r="136" customFormat="false" ht="15" hidden="false" customHeight="false" outlineLevel="0" collapsed="false">
      <c r="K136" s="0" t="str">
        <f aca="false">IF('Campaign Overview'!A28="","",'Campaign Overview'!A28)</f>
        <v/>
      </c>
      <c r="L136" s="0" t="str">
        <f aca="false">IF('Campaign Overview'!A28="","",'Campaign Overview'!B28)</f>
        <v/>
      </c>
      <c r="M136" s="0" t="str">
        <f aca="true">IF('Campaign Overview'!A28="","",COUNTIFS('Raw SmartLead Replies'!A:A,'Campaign Overview'!A28,'Raw SmartLead Replies'!F:F,"&gt;="&amp;TODAY()-90))</f>
        <v/>
      </c>
      <c r="N136" s="0" t="str">
        <f aca="true">IF('Campaign Overview'!A28="","",COUNTIFS('Raw SmartLead Replies'!A:A,'Campaign Overview'!A28,'Raw SmartLead Replies'!G:G,"Interested",'Raw SmartLead Replies'!F:F,"&gt;="&amp;TODAY()-90))</f>
        <v/>
      </c>
      <c r="O136" s="0" t="str">
        <f aca="true">IF('Campaign Overview'!A28="","",COUNTIFS('Raw GHL Data'!C:C,'Campaign Overview'!A28,'Raw GHL Data'!E:E,"&gt;="&amp;TODAY()-90))</f>
        <v/>
      </c>
      <c r="P136" s="0" t="str">
        <f aca="true">IF('Campaign Overview'!A28="","",COUNTIFS('Raw GHL Data'!C:C,'Campaign Overview'!A28,'Raw GHL Data'!H:H,"&gt;="&amp;TODAY()-90))</f>
        <v/>
      </c>
      <c r="Q136" s="21" t="str">
        <f aca="false">IF(OR('Campaign Overview'!A28="",M136=0),"",P136/M136)</f>
        <v/>
      </c>
    </row>
    <row r="137" customFormat="false" ht="15" hidden="false" customHeight="false" outlineLevel="0" collapsed="false">
      <c r="K137" s="0" t="str">
        <f aca="false">IF('Campaign Overview'!A29="","",'Campaign Overview'!A29)</f>
        <v/>
      </c>
      <c r="L137" s="0" t="str">
        <f aca="false">IF('Campaign Overview'!A29="","",'Campaign Overview'!B29)</f>
        <v/>
      </c>
      <c r="M137" s="0" t="str">
        <f aca="true">IF('Campaign Overview'!A29="","",COUNTIFS('Raw SmartLead Replies'!A:A,'Campaign Overview'!A29,'Raw SmartLead Replies'!F:F,"&gt;="&amp;TODAY()-90))</f>
        <v/>
      </c>
      <c r="N137" s="0" t="str">
        <f aca="true">IF('Campaign Overview'!A29="","",COUNTIFS('Raw SmartLead Replies'!A:A,'Campaign Overview'!A29,'Raw SmartLead Replies'!G:G,"Interested",'Raw SmartLead Replies'!F:F,"&gt;="&amp;TODAY()-90))</f>
        <v/>
      </c>
      <c r="O137" s="0" t="str">
        <f aca="true">IF('Campaign Overview'!A29="","",COUNTIFS('Raw GHL Data'!C:C,'Campaign Overview'!A29,'Raw GHL Data'!E:E,"&gt;="&amp;TODAY()-90))</f>
        <v/>
      </c>
      <c r="P137" s="0" t="str">
        <f aca="true">IF('Campaign Overview'!A29="","",COUNTIFS('Raw GHL Data'!C:C,'Campaign Overview'!A29,'Raw GHL Data'!H:H,"&gt;="&amp;TODAY()-90))</f>
        <v/>
      </c>
      <c r="Q137" s="21" t="str">
        <f aca="false">IF(OR('Campaign Overview'!A29="",M137=0),"",P137/M137)</f>
        <v/>
      </c>
    </row>
    <row r="138" customFormat="false" ht="15" hidden="false" customHeight="false" outlineLevel="0" collapsed="false">
      <c r="K138" s="0" t="str">
        <f aca="false">IF('Campaign Overview'!A30="","",'Campaign Overview'!A30)</f>
        <v/>
      </c>
      <c r="L138" s="0" t="str">
        <f aca="false">IF('Campaign Overview'!A30="","",'Campaign Overview'!B30)</f>
        <v/>
      </c>
      <c r="M138" s="0" t="str">
        <f aca="true">IF('Campaign Overview'!A30="","",COUNTIFS('Raw SmartLead Replies'!A:A,'Campaign Overview'!A30,'Raw SmartLead Replies'!F:F,"&gt;="&amp;TODAY()-90))</f>
        <v/>
      </c>
      <c r="N138" s="0" t="str">
        <f aca="true">IF('Campaign Overview'!A30="","",COUNTIFS('Raw SmartLead Replies'!A:A,'Campaign Overview'!A30,'Raw SmartLead Replies'!G:G,"Interested",'Raw SmartLead Replies'!F:F,"&gt;="&amp;TODAY()-90))</f>
        <v/>
      </c>
      <c r="O138" s="0" t="str">
        <f aca="true">IF('Campaign Overview'!A30="","",COUNTIFS('Raw GHL Data'!C:C,'Campaign Overview'!A30,'Raw GHL Data'!E:E,"&gt;="&amp;TODAY()-90))</f>
        <v/>
      </c>
      <c r="P138" s="0" t="str">
        <f aca="true">IF('Campaign Overview'!A30="","",COUNTIFS('Raw GHL Data'!C:C,'Campaign Overview'!A30,'Raw GHL Data'!H:H,"&gt;="&amp;TODAY()-90))</f>
        <v/>
      </c>
      <c r="Q138" s="21" t="str">
        <f aca="false">IF(OR('Campaign Overview'!A30="",M138=0),"",P138/M138)</f>
        <v/>
      </c>
    </row>
    <row r="139" customFormat="false" ht="15" hidden="false" customHeight="false" outlineLevel="0" collapsed="false">
      <c r="K139" s="0" t="str">
        <f aca="false">IF('Campaign Overview'!A31="","",'Campaign Overview'!A31)</f>
        <v/>
      </c>
      <c r="L139" s="0" t="str">
        <f aca="false">IF('Campaign Overview'!A31="","",'Campaign Overview'!B31)</f>
        <v/>
      </c>
      <c r="M139" s="0" t="str">
        <f aca="true">IF('Campaign Overview'!A31="","",COUNTIFS('Raw SmartLead Replies'!A:A,'Campaign Overview'!A31,'Raw SmartLead Replies'!F:F,"&gt;="&amp;TODAY()-90))</f>
        <v/>
      </c>
      <c r="N139" s="0" t="str">
        <f aca="true">IF('Campaign Overview'!A31="","",COUNTIFS('Raw SmartLead Replies'!A:A,'Campaign Overview'!A31,'Raw SmartLead Replies'!G:G,"Interested",'Raw SmartLead Replies'!F:F,"&gt;="&amp;TODAY()-90))</f>
        <v/>
      </c>
      <c r="O139" s="0" t="str">
        <f aca="true">IF('Campaign Overview'!A31="","",COUNTIFS('Raw GHL Data'!C:C,'Campaign Overview'!A31,'Raw GHL Data'!E:E,"&gt;="&amp;TODAY()-90))</f>
        <v/>
      </c>
      <c r="P139" s="0" t="str">
        <f aca="true">IF('Campaign Overview'!A31="","",COUNTIFS('Raw GHL Data'!C:C,'Campaign Overview'!A31,'Raw GHL Data'!H:H,"&gt;="&amp;TODAY()-90))</f>
        <v/>
      </c>
      <c r="Q139" s="21" t="str">
        <f aca="false">IF(OR('Campaign Overview'!A31="",M139=0),"",P139/M139)</f>
        <v/>
      </c>
    </row>
    <row r="140" customFormat="false" ht="15" hidden="false" customHeight="false" outlineLevel="0" collapsed="false">
      <c r="K140" s="0" t="str">
        <f aca="false">IF('Campaign Overview'!A32="","",'Campaign Overview'!A32)</f>
        <v/>
      </c>
      <c r="L140" s="0" t="str">
        <f aca="false">IF('Campaign Overview'!A32="","",'Campaign Overview'!B32)</f>
        <v/>
      </c>
      <c r="M140" s="0" t="str">
        <f aca="true">IF('Campaign Overview'!A32="","",COUNTIFS('Raw SmartLead Replies'!A:A,'Campaign Overview'!A32,'Raw SmartLead Replies'!F:F,"&gt;="&amp;TODAY()-90))</f>
        <v/>
      </c>
      <c r="N140" s="0" t="str">
        <f aca="true">IF('Campaign Overview'!A32="","",COUNTIFS('Raw SmartLead Replies'!A:A,'Campaign Overview'!A32,'Raw SmartLead Replies'!G:G,"Interested",'Raw SmartLead Replies'!F:F,"&gt;="&amp;TODAY()-90))</f>
        <v/>
      </c>
      <c r="O140" s="0" t="str">
        <f aca="true">IF('Campaign Overview'!A32="","",COUNTIFS('Raw GHL Data'!C:C,'Campaign Overview'!A32,'Raw GHL Data'!E:E,"&gt;="&amp;TODAY()-90))</f>
        <v/>
      </c>
      <c r="P140" s="0" t="str">
        <f aca="true">IF('Campaign Overview'!A32="","",COUNTIFS('Raw GHL Data'!C:C,'Campaign Overview'!A32,'Raw GHL Data'!H:H,"&gt;="&amp;TODAY()-90))</f>
        <v/>
      </c>
      <c r="Q140" s="21" t="str">
        <f aca="false">IF(OR('Campaign Overview'!A32="",M140=0),"",P140/M140)</f>
        <v/>
      </c>
    </row>
    <row r="141" customFormat="false" ht="15" hidden="false" customHeight="false" outlineLevel="0" collapsed="false">
      <c r="K141" s="0" t="str">
        <f aca="false">IF('Campaign Overview'!A33="","",'Campaign Overview'!A33)</f>
        <v/>
      </c>
      <c r="L141" s="0" t="str">
        <f aca="false">IF('Campaign Overview'!A33="","",'Campaign Overview'!B33)</f>
        <v/>
      </c>
      <c r="M141" s="0" t="str">
        <f aca="true">IF('Campaign Overview'!A33="","",COUNTIFS('Raw SmartLead Replies'!A:A,'Campaign Overview'!A33,'Raw SmartLead Replies'!F:F,"&gt;="&amp;TODAY()-90))</f>
        <v/>
      </c>
      <c r="N141" s="0" t="str">
        <f aca="true">IF('Campaign Overview'!A33="","",COUNTIFS('Raw SmartLead Replies'!A:A,'Campaign Overview'!A33,'Raw SmartLead Replies'!G:G,"Interested",'Raw SmartLead Replies'!F:F,"&gt;="&amp;TODAY()-90))</f>
        <v/>
      </c>
      <c r="O141" s="0" t="str">
        <f aca="true">IF('Campaign Overview'!A33="","",COUNTIFS('Raw GHL Data'!C:C,'Campaign Overview'!A33,'Raw GHL Data'!E:E,"&gt;="&amp;TODAY()-90))</f>
        <v/>
      </c>
      <c r="P141" s="0" t="str">
        <f aca="true">IF('Campaign Overview'!A33="","",COUNTIFS('Raw GHL Data'!C:C,'Campaign Overview'!A33,'Raw GHL Data'!H:H,"&gt;="&amp;TODAY()-90))</f>
        <v/>
      </c>
      <c r="Q141" s="21" t="str">
        <f aca="false">IF(OR('Campaign Overview'!A33="",M141=0),"",P141/M141)</f>
        <v/>
      </c>
    </row>
    <row r="142" customFormat="false" ht="15" hidden="false" customHeight="false" outlineLevel="0" collapsed="false">
      <c r="K142" s="0" t="str">
        <f aca="false">IF('Campaign Overview'!A34="","",'Campaign Overview'!A34)</f>
        <v/>
      </c>
      <c r="L142" s="0" t="str">
        <f aca="false">IF('Campaign Overview'!A34="","",'Campaign Overview'!B34)</f>
        <v/>
      </c>
      <c r="M142" s="0" t="str">
        <f aca="true">IF('Campaign Overview'!A34="","",COUNTIFS('Raw SmartLead Replies'!A:A,'Campaign Overview'!A34,'Raw SmartLead Replies'!F:F,"&gt;="&amp;TODAY()-90))</f>
        <v/>
      </c>
      <c r="N142" s="0" t="str">
        <f aca="true">IF('Campaign Overview'!A34="","",COUNTIFS('Raw SmartLead Replies'!A:A,'Campaign Overview'!A34,'Raw SmartLead Replies'!G:G,"Interested",'Raw SmartLead Replies'!F:F,"&gt;="&amp;TODAY()-90))</f>
        <v/>
      </c>
      <c r="O142" s="0" t="str">
        <f aca="true">IF('Campaign Overview'!A34="","",COUNTIFS('Raw GHL Data'!C:C,'Campaign Overview'!A34,'Raw GHL Data'!E:E,"&gt;="&amp;TODAY()-90))</f>
        <v/>
      </c>
      <c r="P142" s="0" t="str">
        <f aca="true">IF('Campaign Overview'!A34="","",COUNTIFS('Raw GHL Data'!C:C,'Campaign Overview'!A34,'Raw GHL Data'!H:H,"&gt;="&amp;TODAY()-90))</f>
        <v/>
      </c>
      <c r="Q142" s="21" t="str">
        <f aca="false">IF(OR('Campaign Overview'!A34="",M142=0),"",P142/M142)</f>
        <v/>
      </c>
    </row>
    <row r="143" customFormat="false" ht="15" hidden="false" customHeight="false" outlineLevel="0" collapsed="false">
      <c r="K143" s="0" t="str">
        <f aca="false">IF('Campaign Overview'!A35="","",'Campaign Overview'!A35)</f>
        <v/>
      </c>
      <c r="L143" s="0" t="str">
        <f aca="false">IF('Campaign Overview'!A35="","",'Campaign Overview'!B35)</f>
        <v/>
      </c>
      <c r="M143" s="0" t="str">
        <f aca="true">IF('Campaign Overview'!A35="","",COUNTIFS('Raw SmartLead Replies'!A:A,'Campaign Overview'!A35,'Raw SmartLead Replies'!F:F,"&gt;="&amp;TODAY()-90))</f>
        <v/>
      </c>
      <c r="N143" s="0" t="str">
        <f aca="true">IF('Campaign Overview'!A35="","",COUNTIFS('Raw SmartLead Replies'!A:A,'Campaign Overview'!A35,'Raw SmartLead Replies'!G:G,"Interested",'Raw SmartLead Replies'!F:F,"&gt;="&amp;TODAY()-90))</f>
        <v/>
      </c>
      <c r="O143" s="0" t="str">
        <f aca="true">IF('Campaign Overview'!A35="","",COUNTIFS('Raw GHL Data'!C:C,'Campaign Overview'!A35,'Raw GHL Data'!E:E,"&gt;="&amp;TODAY()-90))</f>
        <v/>
      </c>
      <c r="P143" s="0" t="str">
        <f aca="true">IF('Campaign Overview'!A35="","",COUNTIFS('Raw GHL Data'!C:C,'Campaign Overview'!A35,'Raw GHL Data'!H:H,"&gt;="&amp;TODAY()-90))</f>
        <v/>
      </c>
      <c r="Q143" s="21" t="str">
        <f aca="false">IF(OR('Campaign Overview'!A35="",M143=0),"",P143/M143)</f>
        <v/>
      </c>
    </row>
    <row r="144" customFormat="false" ht="15" hidden="false" customHeight="false" outlineLevel="0" collapsed="false">
      <c r="K144" s="0" t="str">
        <f aca="false">IF('Campaign Overview'!A36="","",'Campaign Overview'!A36)</f>
        <v/>
      </c>
      <c r="L144" s="0" t="str">
        <f aca="false">IF('Campaign Overview'!A36="","",'Campaign Overview'!B36)</f>
        <v/>
      </c>
      <c r="M144" s="0" t="str">
        <f aca="true">IF('Campaign Overview'!A36="","",COUNTIFS('Raw SmartLead Replies'!A:A,'Campaign Overview'!A36,'Raw SmartLead Replies'!F:F,"&gt;="&amp;TODAY()-90))</f>
        <v/>
      </c>
      <c r="N144" s="0" t="str">
        <f aca="true">IF('Campaign Overview'!A36="","",COUNTIFS('Raw SmartLead Replies'!A:A,'Campaign Overview'!A36,'Raw SmartLead Replies'!G:G,"Interested",'Raw SmartLead Replies'!F:F,"&gt;="&amp;TODAY()-90))</f>
        <v/>
      </c>
      <c r="O144" s="0" t="str">
        <f aca="true">IF('Campaign Overview'!A36="","",COUNTIFS('Raw GHL Data'!C:C,'Campaign Overview'!A36,'Raw GHL Data'!E:E,"&gt;="&amp;TODAY()-90))</f>
        <v/>
      </c>
      <c r="P144" s="0" t="str">
        <f aca="true">IF('Campaign Overview'!A36="","",COUNTIFS('Raw GHL Data'!C:C,'Campaign Overview'!A36,'Raw GHL Data'!H:H,"&gt;="&amp;TODAY()-90))</f>
        <v/>
      </c>
      <c r="Q144" s="21" t="str">
        <f aca="false">IF(OR('Campaign Overview'!A36="",M144=0),"",P144/M144)</f>
        <v/>
      </c>
    </row>
    <row r="145" customFormat="false" ht="15" hidden="false" customHeight="false" outlineLevel="0" collapsed="false">
      <c r="K145" s="0" t="str">
        <f aca="false">IF('Campaign Overview'!A37="","",'Campaign Overview'!A37)</f>
        <v/>
      </c>
      <c r="L145" s="0" t="str">
        <f aca="false">IF('Campaign Overview'!A37="","",'Campaign Overview'!B37)</f>
        <v/>
      </c>
      <c r="M145" s="0" t="str">
        <f aca="true">IF('Campaign Overview'!A37="","",COUNTIFS('Raw SmartLead Replies'!A:A,'Campaign Overview'!A37,'Raw SmartLead Replies'!F:F,"&gt;="&amp;TODAY()-90))</f>
        <v/>
      </c>
      <c r="N145" s="0" t="str">
        <f aca="true">IF('Campaign Overview'!A37="","",COUNTIFS('Raw SmartLead Replies'!A:A,'Campaign Overview'!A37,'Raw SmartLead Replies'!G:G,"Interested",'Raw SmartLead Replies'!F:F,"&gt;="&amp;TODAY()-90))</f>
        <v/>
      </c>
      <c r="O145" s="0" t="str">
        <f aca="true">IF('Campaign Overview'!A37="","",COUNTIFS('Raw GHL Data'!C:C,'Campaign Overview'!A37,'Raw GHL Data'!E:E,"&gt;="&amp;TODAY()-90))</f>
        <v/>
      </c>
      <c r="P145" s="0" t="str">
        <f aca="true">IF('Campaign Overview'!A37="","",COUNTIFS('Raw GHL Data'!C:C,'Campaign Overview'!A37,'Raw GHL Data'!H:H,"&gt;="&amp;TODAY()-90))</f>
        <v/>
      </c>
      <c r="Q145" s="21" t="str">
        <f aca="false">IF(OR('Campaign Overview'!A37="",M145=0),"",P145/M145)</f>
        <v/>
      </c>
    </row>
    <row r="146" customFormat="false" ht="15" hidden="false" customHeight="false" outlineLevel="0" collapsed="false">
      <c r="K146" s="0" t="str">
        <f aca="false">IF('Campaign Overview'!A38="","",'Campaign Overview'!A38)</f>
        <v/>
      </c>
      <c r="L146" s="0" t="str">
        <f aca="false">IF('Campaign Overview'!A38="","",'Campaign Overview'!B38)</f>
        <v/>
      </c>
      <c r="M146" s="0" t="str">
        <f aca="true">IF('Campaign Overview'!A38="","",COUNTIFS('Raw SmartLead Replies'!A:A,'Campaign Overview'!A38,'Raw SmartLead Replies'!F:F,"&gt;="&amp;TODAY()-90))</f>
        <v/>
      </c>
      <c r="N146" s="0" t="str">
        <f aca="true">IF('Campaign Overview'!A38="","",COUNTIFS('Raw SmartLead Replies'!A:A,'Campaign Overview'!A38,'Raw SmartLead Replies'!G:G,"Interested",'Raw SmartLead Replies'!F:F,"&gt;="&amp;TODAY()-90))</f>
        <v/>
      </c>
      <c r="O146" s="0" t="str">
        <f aca="true">IF('Campaign Overview'!A38="","",COUNTIFS('Raw GHL Data'!C:C,'Campaign Overview'!A38,'Raw GHL Data'!E:E,"&gt;="&amp;TODAY()-90))</f>
        <v/>
      </c>
      <c r="P146" s="0" t="str">
        <f aca="true">IF('Campaign Overview'!A38="","",COUNTIFS('Raw GHL Data'!C:C,'Campaign Overview'!A38,'Raw GHL Data'!H:H,"&gt;="&amp;TODAY()-90))</f>
        <v/>
      </c>
      <c r="Q146" s="21" t="str">
        <f aca="false">IF(OR('Campaign Overview'!A38="",M146=0),"",P146/M146)</f>
        <v/>
      </c>
    </row>
    <row r="147" customFormat="false" ht="15" hidden="false" customHeight="false" outlineLevel="0" collapsed="false">
      <c r="K147" s="0" t="str">
        <f aca="false">IF('Campaign Overview'!A39="","",'Campaign Overview'!A39)</f>
        <v/>
      </c>
      <c r="L147" s="0" t="str">
        <f aca="false">IF('Campaign Overview'!A39="","",'Campaign Overview'!B39)</f>
        <v/>
      </c>
      <c r="M147" s="0" t="str">
        <f aca="true">IF('Campaign Overview'!A39="","",COUNTIFS('Raw SmartLead Replies'!A:A,'Campaign Overview'!A39,'Raw SmartLead Replies'!F:F,"&gt;="&amp;TODAY()-90))</f>
        <v/>
      </c>
      <c r="N147" s="0" t="str">
        <f aca="true">IF('Campaign Overview'!A39="","",COUNTIFS('Raw SmartLead Replies'!A:A,'Campaign Overview'!A39,'Raw SmartLead Replies'!G:G,"Interested",'Raw SmartLead Replies'!F:F,"&gt;="&amp;TODAY()-90))</f>
        <v/>
      </c>
      <c r="O147" s="0" t="str">
        <f aca="true">IF('Campaign Overview'!A39="","",COUNTIFS('Raw GHL Data'!C:C,'Campaign Overview'!A39,'Raw GHL Data'!E:E,"&gt;="&amp;TODAY()-90))</f>
        <v/>
      </c>
      <c r="P147" s="0" t="str">
        <f aca="true">IF('Campaign Overview'!A39="","",COUNTIFS('Raw GHL Data'!C:C,'Campaign Overview'!A39,'Raw GHL Data'!H:H,"&gt;="&amp;TODAY()-90))</f>
        <v/>
      </c>
      <c r="Q147" s="21" t="str">
        <f aca="false">IF(OR('Campaign Overview'!A39="",M147=0),"",P147/M147)</f>
        <v/>
      </c>
    </row>
    <row r="148" customFormat="false" ht="15" hidden="false" customHeight="false" outlineLevel="0" collapsed="false">
      <c r="K148" s="0" t="str">
        <f aca="false">IF('Campaign Overview'!A40="","",'Campaign Overview'!A40)</f>
        <v/>
      </c>
      <c r="L148" s="0" t="str">
        <f aca="false">IF('Campaign Overview'!A40="","",'Campaign Overview'!B40)</f>
        <v/>
      </c>
      <c r="M148" s="0" t="str">
        <f aca="true">IF('Campaign Overview'!A40="","",COUNTIFS('Raw SmartLead Replies'!A:A,'Campaign Overview'!A40,'Raw SmartLead Replies'!F:F,"&gt;="&amp;TODAY()-90))</f>
        <v/>
      </c>
      <c r="N148" s="0" t="str">
        <f aca="true">IF('Campaign Overview'!A40="","",COUNTIFS('Raw SmartLead Replies'!A:A,'Campaign Overview'!A40,'Raw SmartLead Replies'!G:G,"Interested",'Raw SmartLead Replies'!F:F,"&gt;="&amp;TODAY()-90))</f>
        <v/>
      </c>
      <c r="O148" s="0" t="str">
        <f aca="true">IF('Campaign Overview'!A40="","",COUNTIFS('Raw GHL Data'!C:C,'Campaign Overview'!A40,'Raw GHL Data'!E:E,"&gt;="&amp;TODAY()-90))</f>
        <v/>
      </c>
      <c r="P148" s="0" t="str">
        <f aca="true">IF('Campaign Overview'!A40="","",COUNTIFS('Raw GHL Data'!C:C,'Campaign Overview'!A40,'Raw GHL Data'!H:H,"&gt;="&amp;TODAY()-90))</f>
        <v/>
      </c>
      <c r="Q148" s="21" t="str">
        <f aca="false">IF(OR('Campaign Overview'!A40="",M148=0),"",P148/M148)</f>
        <v/>
      </c>
    </row>
    <row r="149" customFormat="false" ht="15" hidden="false" customHeight="false" outlineLevel="0" collapsed="false">
      <c r="K149" s="0" t="str">
        <f aca="false">IF('Campaign Overview'!A41="","",'Campaign Overview'!A41)</f>
        <v/>
      </c>
      <c r="L149" s="0" t="str">
        <f aca="false">IF('Campaign Overview'!A41="","",'Campaign Overview'!B41)</f>
        <v/>
      </c>
      <c r="M149" s="0" t="str">
        <f aca="true">IF('Campaign Overview'!A41="","",COUNTIFS('Raw SmartLead Replies'!A:A,'Campaign Overview'!A41,'Raw SmartLead Replies'!F:F,"&gt;="&amp;TODAY()-90))</f>
        <v/>
      </c>
      <c r="N149" s="0" t="str">
        <f aca="true">IF('Campaign Overview'!A41="","",COUNTIFS('Raw SmartLead Replies'!A:A,'Campaign Overview'!A41,'Raw SmartLead Replies'!G:G,"Interested",'Raw SmartLead Replies'!F:F,"&gt;="&amp;TODAY()-90))</f>
        <v/>
      </c>
      <c r="O149" s="0" t="str">
        <f aca="true">IF('Campaign Overview'!A41="","",COUNTIFS('Raw GHL Data'!C:C,'Campaign Overview'!A41,'Raw GHL Data'!E:E,"&gt;="&amp;TODAY()-90))</f>
        <v/>
      </c>
      <c r="P149" s="0" t="str">
        <f aca="true">IF('Campaign Overview'!A41="","",COUNTIFS('Raw GHL Data'!C:C,'Campaign Overview'!A41,'Raw GHL Data'!H:H,"&gt;="&amp;TODAY()-90))</f>
        <v/>
      </c>
      <c r="Q149" s="21" t="str">
        <f aca="false">IF(OR('Campaign Overview'!A41="",M149=0),"",P149/M149)</f>
        <v/>
      </c>
    </row>
    <row r="150" customFormat="false" ht="15" hidden="false" customHeight="false" outlineLevel="0" collapsed="false">
      <c r="K150" s="0" t="str">
        <f aca="false">IF('Campaign Overview'!A42="","",'Campaign Overview'!A42)</f>
        <v/>
      </c>
      <c r="L150" s="0" t="str">
        <f aca="false">IF('Campaign Overview'!A42="","",'Campaign Overview'!B42)</f>
        <v/>
      </c>
      <c r="M150" s="0" t="str">
        <f aca="true">IF('Campaign Overview'!A42="","",COUNTIFS('Raw SmartLead Replies'!A:A,'Campaign Overview'!A42,'Raw SmartLead Replies'!F:F,"&gt;="&amp;TODAY()-90))</f>
        <v/>
      </c>
      <c r="N150" s="0" t="str">
        <f aca="true">IF('Campaign Overview'!A42="","",COUNTIFS('Raw SmartLead Replies'!A:A,'Campaign Overview'!A42,'Raw SmartLead Replies'!G:G,"Interested",'Raw SmartLead Replies'!F:F,"&gt;="&amp;TODAY()-90))</f>
        <v/>
      </c>
      <c r="O150" s="0" t="str">
        <f aca="true">IF('Campaign Overview'!A42="","",COUNTIFS('Raw GHL Data'!C:C,'Campaign Overview'!A42,'Raw GHL Data'!E:E,"&gt;="&amp;TODAY()-90))</f>
        <v/>
      </c>
      <c r="P150" s="0" t="str">
        <f aca="true">IF('Campaign Overview'!A42="","",COUNTIFS('Raw GHL Data'!C:C,'Campaign Overview'!A42,'Raw GHL Data'!H:H,"&gt;="&amp;TODAY()-90))</f>
        <v/>
      </c>
      <c r="Q150" s="21" t="str">
        <f aca="false">IF(OR('Campaign Overview'!A42="",M150=0),"",P150/M150)</f>
        <v/>
      </c>
    </row>
    <row r="151" customFormat="false" ht="15" hidden="false" customHeight="false" outlineLevel="0" collapsed="false">
      <c r="K151" s="0" t="str">
        <f aca="false">IF('Campaign Overview'!A43="","",'Campaign Overview'!A43)</f>
        <v/>
      </c>
      <c r="L151" s="0" t="str">
        <f aca="false">IF('Campaign Overview'!A43="","",'Campaign Overview'!B43)</f>
        <v/>
      </c>
      <c r="M151" s="0" t="str">
        <f aca="true">IF('Campaign Overview'!A43="","",COUNTIFS('Raw SmartLead Replies'!A:A,'Campaign Overview'!A43,'Raw SmartLead Replies'!F:F,"&gt;="&amp;TODAY()-90))</f>
        <v/>
      </c>
      <c r="N151" s="0" t="str">
        <f aca="true">IF('Campaign Overview'!A43="","",COUNTIFS('Raw SmartLead Replies'!A:A,'Campaign Overview'!A43,'Raw SmartLead Replies'!G:G,"Interested",'Raw SmartLead Replies'!F:F,"&gt;="&amp;TODAY()-90))</f>
        <v/>
      </c>
      <c r="O151" s="0" t="str">
        <f aca="true">IF('Campaign Overview'!A43="","",COUNTIFS('Raw GHL Data'!C:C,'Campaign Overview'!A43,'Raw GHL Data'!E:E,"&gt;="&amp;TODAY()-90))</f>
        <v/>
      </c>
      <c r="P151" s="0" t="str">
        <f aca="true">IF('Campaign Overview'!A43="","",COUNTIFS('Raw GHL Data'!C:C,'Campaign Overview'!A43,'Raw GHL Data'!H:H,"&gt;="&amp;TODAY()-90))</f>
        <v/>
      </c>
      <c r="Q151" s="21" t="str">
        <f aca="false">IF(OR('Campaign Overview'!A43="",M151=0),"",P151/M151)</f>
        <v/>
      </c>
    </row>
    <row r="152" customFormat="false" ht="15" hidden="false" customHeight="false" outlineLevel="0" collapsed="false">
      <c r="K152" s="0" t="str">
        <f aca="false">IF('Campaign Overview'!A44="","",'Campaign Overview'!A44)</f>
        <v/>
      </c>
      <c r="L152" s="0" t="str">
        <f aca="false">IF('Campaign Overview'!A44="","",'Campaign Overview'!B44)</f>
        <v/>
      </c>
      <c r="M152" s="0" t="str">
        <f aca="true">IF('Campaign Overview'!A44="","",COUNTIFS('Raw SmartLead Replies'!A:A,'Campaign Overview'!A44,'Raw SmartLead Replies'!F:F,"&gt;="&amp;TODAY()-90))</f>
        <v/>
      </c>
      <c r="N152" s="0" t="str">
        <f aca="true">IF('Campaign Overview'!A44="","",COUNTIFS('Raw SmartLead Replies'!A:A,'Campaign Overview'!A44,'Raw SmartLead Replies'!G:G,"Interested",'Raw SmartLead Replies'!F:F,"&gt;="&amp;TODAY()-90))</f>
        <v/>
      </c>
      <c r="O152" s="0" t="str">
        <f aca="true">IF('Campaign Overview'!A44="","",COUNTIFS('Raw GHL Data'!C:C,'Campaign Overview'!A44,'Raw GHL Data'!E:E,"&gt;="&amp;TODAY()-90))</f>
        <v/>
      </c>
      <c r="P152" s="0" t="str">
        <f aca="true">IF('Campaign Overview'!A44="","",COUNTIFS('Raw GHL Data'!C:C,'Campaign Overview'!A44,'Raw GHL Data'!H:H,"&gt;="&amp;TODAY()-90))</f>
        <v/>
      </c>
      <c r="Q152" s="21" t="str">
        <f aca="false">IF(OR('Campaign Overview'!A44="",M152=0),"",P152/M152)</f>
        <v/>
      </c>
    </row>
    <row r="153" customFormat="false" ht="15" hidden="false" customHeight="false" outlineLevel="0" collapsed="false">
      <c r="K153" s="0" t="str">
        <f aca="false">IF('Campaign Overview'!A45="","",'Campaign Overview'!A45)</f>
        <v/>
      </c>
      <c r="L153" s="0" t="str">
        <f aca="false">IF('Campaign Overview'!A45="","",'Campaign Overview'!B45)</f>
        <v/>
      </c>
      <c r="M153" s="0" t="str">
        <f aca="true">IF('Campaign Overview'!A45="","",COUNTIFS('Raw SmartLead Replies'!A:A,'Campaign Overview'!A45,'Raw SmartLead Replies'!F:F,"&gt;="&amp;TODAY()-90))</f>
        <v/>
      </c>
      <c r="N153" s="0" t="str">
        <f aca="true">IF('Campaign Overview'!A45="","",COUNTIFS('Raw SmartLead Replies'!A:A,'Campaign Overview'!A45,'Raw SmartLead Replies'!G:G,"Interested",'Raw SmartLead Replies'!F:F,"&gt;="&amp;TODAY()-90))</f>
        <v/>
      </c>
      <c r="O153" s="0" t="str">
        <f aca="true">IF('Campaign Overview'!A45="","",COUNTIFS('Raw GHL Data'!C:C,'Campaign Overview'!A45,'Raw GHL Data'!E:E,"&gt;="&amp;TODAY()-90))</f>
        <v/>
      </c>
      <c r="P153" s="0" t="str">
        <f aca="true">IF('Campaign Overview'!A45="","",COUNTIFS('Raw GHL Data'!C:C,'Campaign Overview'!A45,'Raw GHL Data'!H:H,"&gt;="&amp;TODAY()-90))</f>
        <v/>
      </c>
      <c r="Q153" s="21" t="str">
        <f aca="false">IF(OR('Campaign Overview'!A45="",M153=0),"",P153/M153)</f>
        <v/>
      </c>
    </row>
    <row r="154" customFormat="false" ht="15" hidden="false" customHeight="false" outlineLevel="0" collapsed="false">
      <c r="K154" s="0" t="str">
        <f aca="false">IF('Campaign Overview'!A46="","",'Campaign Overview'!A46)</f>
        <v/>
      </c>
      <c r="L154" s="0" t="str">
        <f aca="false">IF('Campaign Overview'!A46="","",'Campaign Overview'!B46)</f>
        <v/>
      </c>
      <c r="M154" s="0" t="str">
        <f aca="true">IF('Campaign Overview'!A46="","",COUNTIFS('Raw SmartLead Replies'!A:A,'Campaign Overview'!A46,'Raw SmartLead Replies'!F:F,"&gt;="&amp;TODAY()-90))</f>
        <v/>
      </c>
      <c r="N154" s="0" t="str">
        <f aca="true">IF('Campaign Overview'!A46="","",COUNTIFS('Raw SmartLead Replies'!A:A,'Campaign Overview'!A46,'Raw SmartLead Replies'!G:G,"Interested",'Raw SmartLead Replies'!F:F,"&gt;="&amp;TODAY()-90))</f>
        <v/>
      </c>
      <c r="O154" s="0" t="str">
        <f aca="true">IF('Campaign Overview'!A46="","",COUNTIFS('Raw GHL Data'!C:C,'Campaign Overview'!A46,'Raw GHL Data'!E:E,"&gt;="&amp;TODAY()-90))</f>
        <v/>
      </c>
      <c r="P154" s="0" t="str">
        <f aca="true">IF('Campaign Overview'!A46="","",COUNTIFS('Raw GHL Data'!C:C,'Campaign Overview'!A46,'Raw GHL Data'!H:H,"&gt;="&amp;TODAY()-90))</f>
        <v/>
      </c>
      <c r="Q154" s="21" t="str">
        <f aca="false">IF(OR('Campaign Overview'!A46="",M154=0),"",P154/M154)</f>
        <v/>
      </c>
    </row>
    <row r="155" customFormat="false" ht="15" hidden="false" customHeight="false" outlineLevel="0" collapsed="false">
      <c r="K155" s="0" t="str">
        <f aca="false">IF('Campaign Overview'!A47="","",'Campaign Overview'!A47)</f>
        <v/>
      </c>
      <c r="L155" s="0" t="str">
        <f aca="false">IF('Campaign Overview'!A47="","",'Campaign Overview'!B47)</f>
        <v/>
      </c>
      <c r="M155" s="0" t="str">
        <f aca="true">IF('Campaign Overview'!A47="","",COUNTIFS('Raw SmartLead Replies'!A:A,'Campaign Overview'!A47,'Raw SmartLead Replies'!F:F,"&gt;="&amp;TODAY()-90))</f>
        <v/>
      </c>
      <c r="N155" s="0" t="str">
        <f aca="true">IF('Campaign Overview'!A47="","",COUNTIFS('Raw SmartLead Replies'!A:A,'Campaign Overview'!A47,'Raw SmartLead Replies'!G:G,"Interested",'Raw SmartLead Replies'!F:F,"&gt;="&amp;TODAY()-90))</f>
        <v/>
      </c>
      <c r="O155" s="0" t="str">
        <f aca="true">IF('Campaign Overview'!A47="","",COUNTIFS('Raw GHL Data'!C:C,'Campaign Overview'!A47,'Raw GHL Data'!E:E,"&gt;="&amp;TODAY()-90))</f>
        <v/>
      </c>
      <c r="P155" s="0" t="str">
        <f aca="true">IF('Campaign Overview'!A47="","",COUNTIFS('Raw GHL Data'!C:C,'Campaign Overview'!A47,'Raw GHL Data'!H:H,"&gt;="&amp;TODAY()-90))</f>
        <v/>
      </c>
      <c r="Q155" s="21" t="str">
        <f aca="false">IF(OR('Campaign Overview'!A47="",M155=0),"",P155/M155)</f>
        <v/>
      </c>
    </row>
    <row r="156" customFormat="false" ht="15" hidden="false" customHeight="false" outlineLevel="0" collapsed="false">
      <c r="K156" s="0" t="str">
        <f aca="false">IF('Campaign Overview'!A48="","",'Campaign Overview'!A48)</f>
        <v/>
      </c>
      <c r="L156" s="0" t="str">
        <f aca="false">IF('Campaign Overview'!A48="","",'Campaign Overview'!B48)</f>
        <v/>
      </c>
      <c r="M156" s="0" t="str">
        <f aca="true">IF('Campaign Overview'!A48="","",COUNTIFS('Raw SmartLead Replies'!A:A,'Campaign Overview'!A48,'Raw SmartLead Replies'!F:F,"&gt;="&amp;TODAY()-90))</f>
        <v/>
      </c>
      <c r="N156" s="0" t="str">
        <f aca="true">IF('Campaign Overview'!A48="","",COUNTIFS('Raw SmartLead Replies'!A:A,'Campaign Overview'!A48,'Raw SmartLead Replies'!G:G,"Interested",'Raw SmartLead Replies'!F:F,"&gt;="&amp;TODAY()-90))</f>
        <v/>
      </c>
      <c r="O156" s="0" t="str">
        <f aca="true">IF('Campaign Overview'!A48="","",COUNTIFS('Raw GHL Data'!C:C,'Campaign Overview'!A48,'Raw GHL Data'!E:E,"&gt;="&amp;TODAY()-90))</f>
        <v/>
      </c>
      <c r="P156" s="0" t="str">
        <f aca="true">IF('Campaign Overview'!A48="","",COUNTIFS('Raw GHL Data'!C:C,'Campaign Overview'!A48,'Raw GHL Data'!H:H,"&gt;="&amp;TODAY()-90))</f>
        <v/>
      </c>
      <c r="Q156" s="21" t="str">
        <f aca="false">IF(OR('Campaign Overview'!A48="",M156=0),"",P156/M156)</f>
        <v/>
      </c>
    </row>
    <row r="157" customFormat="false" ht="15" hidden="false" customHeight="false" outlineLevel="0" collapsed="false">
      <c r="K157" s="0" t="str">
        <f aca="false">IF('Campaign Overview'!A49="","",'Campaign Overview'!A49)</f>
        <v/>
      </c>
      <c r="L157" s="0" t="str">
        <f aca="false">IF('Campaign Overview'!A49="","",'Campaign Overview'!B49)</f>
        <v/>
      </c>
      <c r="M157" s="0" t="str">
        <f aca="true">IF('Campaign Overview'!A49="","",COUNTIFS('Raw SmartLead Replies'!A:A,'Campaign Overview'!A49,'Raw SmartLead Replies'!F:F,"&gt;="&amp;TODAY()-90))</f>
        <v/>
      </c>
      <c r="N157" s="0" t="str">
        <f aca="true">IF('Campaign Overview'!A49="","",COUNTIFS('Raw SmartLead Replies'!A:A,'Campaign Overview'!A49,'Raw SmartLead Replies'!G:G,"Interested",'Raw SmartLead Replies'!F:F,"&gt;="&amp;TODAY()-90))</f>
        <v/>
      </c>
      <c r="O157" s="0" t="str">
        <f aca="true">IF('Campaign Overview'!A49="","",COUNTIFS('Raw GHL Data'!C:C,'Campaign Overview'!A49,'Raw GHL Data'!E:E,"&gt;="&amp;TODAY()-90))</f>
        <v/>
      </c>
      <c r="P157" s="0" t="str">
        <f aca="true">IF('Campaign Overview'!A49="","",COUNTIFS('Raw GHL Data'!C:C,'Campaign Overview'!A49,'Raw GHL Data'!H:H,"&gt;="&amp;TODAY()-90))</f>
        <v/>
      </c>
      <c r="Q157" s="21" t="str">
        <f aca="false">IF(OR('Campaign Overview'!A49="",M157=0),"",P157/M157)</f>
        <v/>
      </c>
    </row>
    <row r="158" customFormat="false" ht="15" hidden="false" customHeight="false" outlineLevel="0" collapsed="false">
      <c r="K158" s="0" t="str">
        <f aca="false">IF('Campaign Overview'!A50="","",'Campaign Overview'!A50)</f>
        <v/>
      </c>
      <c r="L158" s="0" t="str">
        <f aca="false">IF('Campaign Overview'!A50="","",'Campaign Overview'!B50)</f>
        <v/>
      </c>
      <c r="M158" s="0" t="str">
        <f aca="true">IF('Campaign Overview'!A50="","",COUNTIFS('Raw SmartLead Replies'!A:A,'Campaign Overview'!A50,'Raw SmartLead Replies'!F:F,"&gt;="&amp;TODAY()-90))</f>
        <v/>
      </c>
      <c r="N158" s="0" t="str">
        <f aca="true">IF('Campaign Overview'!A50="","",COUNTIFS('Raw SmartLead Replies'!A:A,'Campaign Overview'!A50,'Raw SmartLead Replies'!G:G,"Interested",'Raw SmartLead Replies'!F:F,"&gt;="&amp;TODAY()-90))</f>
        <v/>
      </c>
      <c r="O158" s="0" t="str">
        <f aca="true">IF('Campaign Overview'!A50="","",COUNTIFS('Raw GHL Data'!C:C,'Campaign Overview'!A50,'Raw GHL Data'!E:E,"&gt;="&amp;TODAY()-90))</f>
        <v/>
      </c>
      <c r="P158" s="0" t="str">
        <f aca="true">IF('Campaign Overview'!A50="","",COUNTIFS('Raw GHL Data'!C:C,'Campaign Overview'!A50,'Raw GHL Data'!H:H,"&gt;="&amp;TODAY()-90))</f>
        <v/>
      </c>
      <c r="Q158" s="21" t="str">
        <f aca="false">IF(OR('Campaign Overview'!A50="",M158=0),"",P158/M158)</f>
        <v/>
      </c>
    </row>
    <row r="159" customFormat="false" ht="15" hidden="false" customHeight="false" outlineLevel="0" collapsed="false">
      <c r="K159" s="0" t="str">
        <f aca="false">IF('Campaign Overview'!A51="","",'Campaign Overview'!A51)</f>
        <v/>
      </c>
      <c r="L159" s="0" t="str">
        <f aca="false">IF('Campaign Overview'!A51="","",'Campaign Overview'!B51)</f>
        <v/>
      </c>
      <c r="M159" s="0" t="str">
        <f aca="true">IF('Campaign Overview'!A51="","",COUNTIFS('Raw SmartLead Replies'!A:A,'Campaign Overview'!A51,'Raw SmartLead Replies'!F:F,"&gt;="&amp;TODAY()-90))</f>
        <v/>
      </c>
      <c r="N159" s="0" t="str">
        <f aca="true">IF('Campaign Overview'!A51="","",COUNTIFS('Raw SmartLead Replies'!A:A,'Campaign Overview'!A51,'Raw SmartLead Replies'!G:G,"Interested",'Raw SmartLead Replies'!F:F,"&gt;="&amp;TODAY()-90))</f>
        <v/>
      </c>
      <c r="O159" s="0" t="str">
        <f aca="true">IF('Campaign Overview'!A51="","",COUNTIFS('Raw GHL Data'!C:C,'Campaign Overview'!A51,'Raw GHL Data'!E:E,"&gt;="&amp;TODAY()-90))</f>
        <v/>
      </c>
      <c r="P159" s="0" t="str">
        <f aca="true">IF('Campaign Overview'!A51="","",COUNTIFS('Raw GHL Data'!C:C,'Campaign Overview'!A51,'Raw GHL Data'!H:H,"&gt;="&amp;TODAY()-90))</f>
        <v/>
      </c>
      <c r="Q159" s="21" t="str">
        <f aca="false">IF(OR('Campaign Overview'!A51="",M159=0),"",P159/M159)</f>
        <v/>
      </c>
    </row>
    <row r="160" customFormat="false" ht="21.75" hidden="false" customHeight="true" outlineLevel="0" collapsed="false">
      <c r="A160" s="18" t="s">
        <v>93</v>
      </c>
      <c r="B160" s="18"/>
      <c r="C160" s="18"/>
      <c r="D160" s="18"/>
      <c r="E160" s="18"/>
      <c r="F160" s="18"/>
      <c r="G160" s="18"/>
      <c r="H160" s="18"/>
      <c r="K160" s="0" t="str">
        <f aca="false">IF('Campaign Overview'!A52="","",'Campaign Overview'!A52)</f>
        <v/>
      </c>
      <c r="L160" s="0" t="str">
        <f aca="false">IF('Campaign Overview'!A52="","",'Campaign Overview'!B52)</f>
        <v/>
      </c>
      <c r="M160" s="0" t="str">
        <f aca="true">IF('Campaign Overview'!A52="","",COUNTIFS('Raw SmartLead Replies'!A:A,'Campaign Overview'!A52,'Raw SmartLead Replies'!F:F,"&gt;="&amp;TODAY()-90))</f>
        <v/>
      </c>
      <c r="N160" s="0" t="str">
        <f aca="true">IF('Campaign Overview'!A52="","",COUNTIFS('Raw SmartLead Replies'!A:A,'Campaign Overview'!A52,'Raw SmartLead Replies'!G:G,"Interested",'Raw SmartLead Replies'!F:F,"&gt;="&amp;TODAY()-90))</f>
        <v/>
      </c>
      <c r="O160" s="0" t="str">
        <f aca="true">IF('Campaign Overview'!A52="","",COUNTIFS('Raw GHL Data'!C:C,'Campaign Overview'!A52,'Raw GHL Data'!E:E,"&gt;="&amp;TODAY()-90))</f>
        <v/>
      </c>
      <c r="P160" s="0" t="str">
        <f aca="true">IF('Campaign Overview'!A52="","",COUNTIFS('Raw GHL Data'!C:C,'Campaign Overview'!A52,'Raw GHL Data'!H:H,"&gt;="&amp;TODAY()-90))</f>
        <v/>
      </c>
      <c r="Q160" s="21" t="str">
        <f aca="false">IF(OR('Campaign Overview'!A52="",M160=0),"",P160/M160)</f>
        <v/>
      </c>
    </row>
    <row r="161" customFormat="false" ht="30" hidden="false" customHeight="true" outlineLevel="0" collapsed="false">
      <c r="A161" s="19" t="s">
        <v>88</v>
      </c>
      <c r="B161" s="19" t="s">
        <v>41</v>
      </c>
      <c r="C161" s="19" t="s">
        <v>42</v>
      </c>
      <c r="D161" s="19" t="s">
        <v>58</v>
      </c>
      <c r="E161" s="19" t="s">
        <v>89</v>
      </c>
      <c r="F161" s="19" t="s">
        <v>79</v>
      </c>
      <c r="G161" s="19" t="s">
        <v>90</v>
      </c>
      <c r="H161" s="19" t="s">
        <v>83</v>
      </c>
      <c r="K161" s="0" t="str">
        <f aca="false">IF('Campaign Overview'!A53="","",'Campaign Overview'!A53)</f>
        <v/>
      </c>
      <c r="L161" s="0" t="str">
        <f aca="false">IF('Campaign Overview'!A53="","",'Campaign Overview'!B53)</f>
        <v/>
      </c>
      <c r="M161" s="0" t="str">
        <f aca="true">IF('Campaign Overview'!A53="","",COUNTIFS('Raw SmartLead Replies'!A:A,'Campaign Overview'!A53,'Raw SmartLead Replies'!F:F,"&gt;="&amp;TODAY()-90))</f>
        <v/>
      </c>
      <c r="N161" s="0" t="str">
        <f aca="true">IF('Campaign Overview'!A53="","",COUNTIFS('Raw SmartLead Replies'!A:A,'Campaign Overview'!A53,'Raw SmartLead Replies'!G:G,"Interested",'Raw SmartLead Replies'!F:F,"&gt;="&amp;TODAY()-90))</f>
        <v/>
      </c>
      <c r="O161" s="0" t="str">
        <f aca="true">IF('Campaign Overview'!A53="","",COUNTIFS('Raw GHL Data'!C:C,'Campaign Overview'!A53,'Raw GHL Data'!E:E,"&gt;="&amp;TODAY()-90))</f>
        <v/>
      </c>
      <c r="P161" s="0" t="str">
        <f aca="true">IF('Campaign Overview'!A53="","",COUNTIFS('Raw GHL Data'!C:C,'Campaign Overview'!A53,'Raw GHL Data'!H:H,"&gt;="&amp;TODAY()-90))</f>
        <v/>
      </c>
      <c r="Q161" s="21" t="str">
        <f aca="false">IF(OR('Campaign Overview'!A53="",M161=0),"",P161/M161)</f>
        <v/>
      </c>
    </row>
    <row r="162" customFormat="false" ht="15" hidden="false" customHeight="false" outlineLevel="0" collapsed="false">
      <c r="A162" s="0" t="str">
        <f aca="false">IFERROR(arrayformula(IF(LEN(B162:B411),"All Time","")),"")</f>
        <v/>
      </c>
      <c r="B162" s="0" t="e">
        <f aca="false">IFERROR(filter({K163:K412,L163:L412,M163:M412,N163:N412,O163:O412,P163:P412,Q163:Q412},M163:M412&gt;0,K163:K412&lt;&gt;""),"(no campaigns with activity in this period)")</f>
        <v>#N/A</v>
      </c>
      <c r="K162" s="20" t="s">
        <v>41</v>
      </c>
      <c r="L162" s="20" t="s">
        <v>42</v>
      </c>
      <c r="M162" s="20" t="s">
        <v>58</v>
      </c>
      <c r="N162" s="20" t="s">
        <v>89</v>
      </c>
      <c r="O162" s="20" t="s">
        <v>79</v>
      </c>
      <c r="P162" s="20" t="s">
        <v>90</v>
      </c>
      <c r="Q162" s="22" t="s">
        <v>83</v>
      </c>
    </row>
    <row r="163" customFormat="false" ht="15" hidden="false" customHeight="false" outlineLevel="0" collapsed="false">
      <c r="K163" s="0" t="n">
        <f aca="false">IF('Campaign Overview'!A3="","",'Campaign Overview'!A3)</f>
        <v>3134980</v>
      </c>
      <c r="L163" s="0" t="str">
        <f aca="false">IF('Campaign Overview'!A3="","",'Campaign Overview'!B3)</f>
        <v>60 Day Ads - Bathroom Renovations (USA)</v>
      </c>
      <c r="M163" s="0" t="n">
        <f aca="false">IF('Campaign Overview'!A3="","",COUNTIFS('Raw SmartLead Replies'!A:A,'Campaign Overview'!A3))</f>
        <v>1</v>
      </c>
      <c r="N163" s="0" t="n">
        <f aca="false">IF('Campaign Overview'!A3="","",COUNTIFS('Raw SmartLead Replies'!A:A,'Campaign Overview'!A3,'Raw SmartLead Replies'!G:G,"Interested"))</f>
        <v>1</v>
      </c>
      <c r="O163" s="0" t="n">
        <f aca="false">IF('Campaign Overview'!A3="","",COUNTIFS('Raw GHL Data'!C:C,'Campaign Overview'!A3,'Raw GHL Data'!E:E,"&lt;&gt;"))</f>
        <v>0</v>
      </c>
      <c r="P163" s="0" t="n">
        <f aca="false">IF('Campaign Overview'!A3="","",COUNTIFS('Raw GHL Data'!C:C,'Campaign Overview'!A3,'Raw GHL Data'!H:H,"&lt;&gt;"))</f>
        <v>0</v>
      </c>
      <c r="Q163" s="21" t="n">
        <f aca="false">IF(OR('Campaign Overview'!A3="",M163=0),"",P163/M163)</f>
        <v>0</v>
      </c>
    </row>
    <row r="164" customFormat="false" ht="15" hidden="false" customHeight="false" outlineLevel="0" collapsed="false">
      <c r="K164" s="0" t="n">
        <f aca="false">IF('Campaign Overview'!A4="","",'Campaign Overview'!A4)</f>
        <v>3134858</v>
      </c>
      <c r="L164" s="0" t="str">
        <f aca="false">IF('Campaign Overview'!A4="","",'Campaign Overview'!B4)</f>
        <v>60 Day Ads - General Construction USA (Tulsa, Tampa, Cincinnati)</v>
      </c>
      <c r="M164" s="0" t="n">
        <f aca="false">IF('Campaign Overview'!A4="","",COUNTIFS('Raw SmartLead Replies'!A:A,'Campaign Overview'!A4))</f>
        <v>0</v>
      </c>
      <c r="N164" s="0" t="n">
        <f aca="false">IF('Campaign Overview'!A4="","",COUNTIFS('Raw SmartLead Replies'!A:A,'Campaign Overview'!A4,'Raw SmartLead Replies'!G:G,"Interested"))</f>
        <v>0</v>
      </c>
      <c r="O164" s="0" t="n">
        <f aca="false">IF('Campaign Overview'!A4="","",COUNTIFS('Raw GHL Data'!C:C,'Campaign Overview'!A4,'Raw GHL Data'!E:E,"&lt;&gt;"))</f>
        <v>0</v>
      </c>
      <c r="P164" s="0" t="n">
        <f aca="false">IF('Campaign Overview'!A4="","",COUNTIFS('Raw GHL Data'!C:C,'Campaign Overview'!A4,'Raw GHL Data'!H:H,"&lt;&gt;"))</f>
        <v>0</v>
      </c>
      <c r="Q164" s="21" t="str">
        <f aca="false">IF(OR('Campaign Overview'!A4="",M164=0),"",P164/M164)</f>
        <v/>
      </c>
    </row>
    <row r="165" customFormat="false" ht="15" hidden="false" customHeight="false" outlineLevel="0" collapsed="false">
      <c r="K165" s="0" t="n">
        <f aca="false">IF('Campaign Overview'!A5="","",'Campaign Overview'!A5)</f>
        <v>3072412</v>
      </c>
      <c r="L165" s="0" t="str">
        <f aca="false">IF('Campaign Overview'!A5="","",'Campaign Overview'!B5)</f>
        <v>60 Day Ads - Kitchen Renovators (USA)</v>
      </c>
      <c r="M165" s="0" t="n">
        <f aca="false">IF('Campaign Overview'!A5="","",COUNTIFS('Raw SmartLead Replies'!A:A,'Campaign Overview'!A5))</f>
        <v>0</v>
      </c>
      <c r="N165" s="0" t="n">
        <f aca="false">IF('Campaign Overview'!A5="","",COUNTIFS('Raw SmartLead Replies'!A:A,'Campaign Overview'!A5,'Raw SmartLead Replies'!G:G,"Interested"))</f>
        <v>0</v>
      </c>
      <c r="O165" s="0" t="n">
        <f aca="false">IF('Campaign Overview'!A5="","",COUNTIFS('Raw GHL Data'!C:C,'Campaign Overview'!A5,'Raw GHL Data'!E:E,"&lt;&gt;"))</f>
        <v>0</v>
      </c>
      <c r="P165" s="0" t="n">
        <f aca="false">IF('Campaign Overview'!A5="","",COUNTIFS('Raw GHL Data'!C:C,'Campaign Overview'!A5,'Raw GHL Data'!H:H,"&lt;&gt;"))</f>
        <v>0</v>
      </c>
      <c r="Q165" s="21" t="str">
        <f aca="false">IF(OR('Campaign Overview'!A5="",M165=0),"",P165/M165)</f>
        <v/>
      </c>
    </row>
    <row r="166" customFormat="false" ht="15" hidden="false" customHeight="false" outlineLevel="0" collapsed="false">
      <c r="K166" s="0" t="n">
        <f aca="false">IF('Campaign Overview'!A6="","",'Campaign Overview'!A6)</f>
        <v>3043415</v>
      </c>
      <c r="L166" s="0" t="str">
        <f aca="false">IF('Campaign Overview'!A6="","",'Campaign Overview'!B6)</f>
        <v>60 Day Ads Offer - USA (LA, Detroit, Colorado Springs) - copy</v>
      </c>
      <c r="M166" s="0" t="n">
        <f aca="false">IF('Campaign Overview'!A6="","",COUNTIFS('Raw SmartLead Replies'!A:A,'Campaign Overview'!A6))</f>
        <v>0</v>
      </c>
      <c r="N166" s="0" t="n">
        <f aca="false">IF('Campaign Overview'!A6="","",COUNTIFS('Raw SmartLead Replies'!A:A,'Campaign Overview'!A6,'Raw SmartLead Replies'!G:G,"Interested"))</f>
        <v>0</v>
      </c>
      <c r="O166" s="0" t="n">
        <f aca="false">IF('Campaign Overview'!A6="","",COUNTIFS('Raw GHL Data'!C:C,'Campaign Overview'!A6,'Raw GHL Data'!E:E,"&lt;&gt;"))</f>
        <v>0</v>
      </c>
      <c r="P166" s="0" t="n">
        <f aca="false">IF('Campaign Overview'!A6="","",COUNTIFS('Raw GHL Data'!C:C,'Campaign Overview'!A6,'Raw GHL Data'!H:H,"&lt;&gt;"))</f>
        <v>0</v>
      </c>
      <c r="Q166" s="21" t="str">
        <f aca="false">IF(OR('Campaign Overview'!A6="",M166=0),"",P166/M166)</f>
        <v/>
      </c>
    </row>
    <row r="167" customFormat="false" ht="15" hidden="false" customHeight="false" outlineLevel="0" collapsed="false">
      <c r="K167" s="0" t="n">
        <f aca="false">IF('Campaign Overview'!A7="","",'Campaign Overview'!A7)</f>
        <v>2978732</v>
      </c>
      <c r="L167" s="0" t="str">
        <f aca="false">IF('Campaign Overview'!A7="","",'Campaign Overview'!B7)</f>
        <v>Huge USA Lead List - 60 Day Ads Offer (Xander)</v>
      </c>
      <c r="M167" s="0" t="n">
        <f aca="false">IF('Campaign Overview'!A7="","",COUNTIFS('Raw SmartLead Replies'!A:A,'Campaign Overview'!A7))</f>
        <v>0</v>
      </c>
      <c r="N167" s="0" t="n">
        <f aca="false">IF('Campaign Overview'!A7="","",COUNTIFS('Raw SmartLead Replies'!A:A,'Campaign Overview'!A7,'Raw SmartLead Replies'!G:G,"Interested"))</f>
        <v>0</v>
      </c>
      <c r="O167" s="0" t="n">
        <f aca="false">IF('Campaign Overview'!A7="","",COUNTIFS('Raw GHL Data'!C:C,'Campaign Overview'!A7,'Raw GHL Data'!E:E,"&lt;&gt;"))</f>
        <v>0</v>
      </c>
      <c r="P167" s="0" t="n">
        <f aca="false">IF('Campaign Overview'!A7="","",COUNTIFS('Raw GHL Data'!C:C,'Campaign Overview'!A7,'Raw GHL Data'!H:H,"&lt;&gt;"))</f>
        <v>0</v>
      </c>
      <c r="Q167" s="21" t="str">
        <f aca="false">IF(OR('Campaign Overview'!A7="",M167=0),"",P167/M167)</f>
        <v/>
      </c>
    </row>
    <row r="168" customFormat="false" ht="15" hidden="false" customHeight="false" outlineLevel="0" collapsed="false">
      <c r="K168" s="0" t="str">
        <f aca="false">IF('Campaign Overview'!A8="","",'Campaign Overview'!A8)</f>
        <v/>
      </c>
      <c r="L168" s="0" t="str">
        <f aca="false">IF('Campaign Overview'!A8="","",'Campaign Overview'!B8)</f>
        <v/>
      </c>
      <c r="M168" s="0" t="str">
        <f aca="false">IF('Campaign Overview'!A8="","",COUNTIFS('Raw SmartLead Replies'!A:A,'Campaign Overview'!A8))</f>
        <v/>
      </c>
      <c r="N168" s="0" t="str">
        <f aca="false">IF('Campaign Overview'!A8="","",COUNTIFS('Raw SmartLead Replies'!A:A,'Campaign Overview'!A8,'Raw SmartLead Replies'!G:G,"Interested"))</f>
        <v/>
      </c>
      <c r="O168" s="0" t="str">
        <f aca="false">IF('Campaign Overview'!A8="","",COUNTIFS('Raw GHL Data'!C:C,'Campaign Overview'!A8,'Raw GHL Data'!E:E,"&lt;&gt;"))</f>
        <v/>
      </c>
      <c r="P168" s="0" t="str">
        <f aca="false">IF('Campaign Overview'!A8="","",COUNTIFS('Raw GHL Data'!C:C,'Campaign Overview'!A8,'Raw GHL Data'!H:H,"&lt;&gt;"))</f>
        <v/>
      </c>
      <c r="Q168" s="21" t="str">
        <f aca="false">IF(OR('Campaign Overview'!A8="",M168=0),"",P168/M168)</f>
        <v/>
      </c>
    </row>
    <row r="169" customFormat="false" ht="15" hidden="false" customHeight="false" outlineLevel="0" collapsed="false">
      <c r="K169" s="0" t="str">
        <f aca="false">IF('Campaign Overview'!A9="","",'Campaign Overview'!A9)</f>
        <v/>
      </c>
      <c r="L169" s="0" t="str">
        <f aca="false">IF('Campaign Overview'!A9="","",'Campaign Overview'!B9)</f>
        <v/>
      </c>
      <c r="M169" s="0" t="str">
        <f aca="false">IF('Campaign Overview'!A9="","",COUNTIFS('Raw SmartLead Replies'!A:A,'Campaign Overview'!A9))</f>
        <v/>
      </c>
      <c r="N169" s="0" t="str">
        <f aca="false">IF('Campaign Overview'!A9="","",COUNTIFS('Raw SmartLead Replies'!A:A,'Campaign Overview'!A9,'Raw SmartLead Replies'!G:G,"Interested"))</f>
        <v/>
      </c>
      <c r="O169" s="0" t="str">
        <f aca="false">IF('Campaign Overview'!A9="","",COUNTIFS('Raw GHL Data'!C:C,'Campaign Overview'!A9,'Raw GHL Data'!E:E,"&lt;&gt;"))</f>
        <v/>
      </c>
      <c r="P169" s="0" t="str">
        <f aca="false">IF('Campaign Overview'!A9="","",COUNTIFS('Raw GHL Data'!C:C,'Campaign Overview'!A9,'Raw GHL Data'!H:H,"&lt;&gt;"))</f>
        <v/>
      </c>
      <c r="Q169" s="21" t="str">
        <f aca="false">IF(OR('Campaign Overview'!A9="",M169=0),"",P169/M169)</f>
        <v/>
      </c>
    </row>
    <row r="170" customFormat="false" ht="15" hidden="false" customHeight="false" outlineLevel="0" collapsed="false">
      <c r="K170" s="0" t="str">
        <f aca="false">IF('Campaign Overview'!A10="","",'Campaign Overview'!A10)</f>
        <v/>
      </c>
      <c r="L170" s="0" t="str">
        <f aca="false">IF('Campaign Overview'!A10="","",'Campaign Overview'!B10)</f>
        <v/>
      </c>
      <c r="M170" s="0" t="str">
        <f aca="false">IF('Campaign Overview'!A10="","",COUNTIFS('Raw SmartLead Replies'!A:A,'Campaign Overview'!A10))</f>
        <v/>
      </c>
      <c r="N170" s="0" t="str">
        <f aca="false">IF('Campaign Overview'!A10="","",COUNTIFS('Raw SmartLead Replies'!A:A,'Campaign Overview'!A10,'Raw SmartLead Replies'!G:G,"Interested"))</f>
        <v/>
      </c>
      <c r="O170" s="0" t="str">
        <f aca="false">IF('Campaign Overview'!A10="","",COUNTIFS('Raw GHL Data'!C:C,'Campaign Overview'!A10,'Raw GHL Data'!E:E,"&lt;&gt;"))</f>
        <v/>
      </c>
      <c r="P170" s="0" t="str">
        <f aca="false">IF('Campaign Overview'!A10="","",COUNTIFS('Raw GHL Data'!C:C,'Campaign Overview'!A10,'Raw GHL Data'!H:H,"&lt;&gt;"))</f>
        <v/>
      </c>
      <c r="Q170" s="21" t="str">
        <f aca="false">IF(OR('Campaign Overview'!A10="",M170=0),"",P170/M170)</f>
        <v/>
      </c>
    </row>
    <row r="171" customFormat="false" ht="15" hidden="false" customHeight="false" outlineLevel="0" collapsed="false">
      <c r="K171" s="0" t="str">
        <f aca="false">IF('Campaign Overview'!A11="","",'Campaign Overview'!A11)</f>
        <v/>
      </c>
      <c r="L171" s="0" t="str">
        <f aca="false">IF('Campaign Overview'!A11="","",'Campaign Overview'!B11)</f>
        <v/>
      </c>
      <c r="M171" s="0" t="str">
        <f aca="false">IF('Campaign Overview'!A11="","",COUNTIFS('Raw SmartLead Replies'!A:A,'Campaign Overview'!A11))</f>
        <v/>
      </c>
      <c r="N171" s="0" t="str">
        <f aca="false">IF('Campaign Overview'!A11="","",COUNTIFS('Raw SmartLead Replies'!A:A,'Campaign Overview'!A11,'Raw SmartLead Replies'!G:G,"Interested"))</f>
        <v/>
      </c>
      <c r="O171" s="0" t="str">
        <f aca="false">IF('Campaign Overview'!A11="","",COUNTIFS('Raw GHL Data'!C:C,'Campaign Overview'!A11,'Raw GHL Data'!E:E,"&lt;&gt;"))</f>
        <v/>
      </c>
      <c r="P171" s="0" t="str">
        <f aca="false">IF('Campaign Overview'!A11="","",COUNTIFS('Raw GHL Data'!C:C,'Campaign Overview'!A11,'Raw GHL Data'!H:H,"&lt;&gt;"))</f>
        <v/>
      </c>
      <c r="Q171" s="21" t="str">
        <f aca="false">IF(OR('Campaign Overview'!A11="",M171=0),"",P171/M171)</f>
        <v/>
      </c>
    </row>
    <row r="172" customFormat="false" ht="15" hidden="false" customHeight="false" outlineLevel="0" collapsed="false">
      <c r="K172" s="0" t="str">
        <f aca="false">IF('Campaign Overview'!A12="","",'Campaign Overview'!A12)</f>
        <v/>
      </c>
      <c r="L172" s="0" t="str">
        <f aca="false">IF('Campaign Overview'!A12="","",'Campaign Overview'!B12)</f>
        <v/>
      </c>
      <c r="M172" s="0" t="str">
        <f aca="false">IF('Campaign Overview'!A12="","",COUNTIFS('Raw SmartLead Replies'!A:A,'Campaign Overview'!A12))</f>
        <v/>
      </c>
      <c r="N172" s="0" t="str">
        <f aca="false">IF('Campaign Overview'!A12="","",COUNTIFS('Raw SmartLead Replies'!A:A,'Campaign Overview'!A12,'Raw SmartLead Replies'!G:G,"Interested"))</f>
        <v/>
      </c>
      <c r="O172" s="0" t="str">
        <f aca="false">IF('Campaign Overview'!A12="","",COUNTIFS('Raw GHL Data'!C:C,'Campaign Overview'!A12,'Raw GHL Data'!E:E,"&lt;&gt;"))</f>
        <v/>
      </c>
      <c r="P172" s="0" t="str">
        <f aca="false">IF('Campaign Overview'!A12="","",COUNTIFS('Raw GHL Data'!C:C,'Campaign Overview'!A12,'Raw GHL Data'!H:H,"&lt;&gt;"))</f>
        <v/>
      </c>
      <c r="Q172" s="21" t="str">
        <f aca="false">IF(OR('Campaign Overview'!A12="",M172=0),"",P172/M172)</f>
        <v/>
      </c>
    </row>
    <row r="173" customFormat="false" ht="15" hidden="false" customHeight="false" outlineLevel="0" collapsed="false">
      <c r="K173" s="0" t="str">
        <f aca="false">IF('Campaign Overview'!A13="","",'Campaign Overview'!A13)</f>
        <v/>
      </c>
      <c r="L173" s="0" t="str">
        <f aca="false">IF('Campaign Overview'!A13="","",'Campaign Overview'!B13)</f>
        <v/>
      </c>
      <c r="M173" s="0" t="str">
        <f aca="false">IF('Campaign Overview'!A13="","",COUNTIFS('Raw SmartLead Replies'!A:A,'Campaign Overview'!A13))</f>
        <v/>
      </c>
      <c r="N173" s="0" t="str">
        <f aca="false">IF('Campaign Overview'!A13="","",COUNTIFS('Raw SmartLead Replies'!A:A,'Campaign Overview'!A13,'Raw SmartLead Replies'!G:G,"Interested"))</f>
        <v/>
      </c>
      <c r="O173" s="0" t="str">
        <f aca="false">IF('Campaign Overview'!A13="","",COUNTIFS('Raw GHL Data'!C:C,'Campaign Overview'!A13,'Raw GHL Data'!E:E,"&lt;&gt;"))</f>
        <v/>
      </c>
      <c r="P173" s="0" t="str">
        <f aca="false">IF('Campaign Overview'!A13="","",COUNTIFS('Raw GHL Data'!C:C,'Campaign Overview'!A13,'Raw GHL Data'!H:H,"&lt;&gt;"))</f>
        <v/>
      </c>
      <c r="Q173" s="21" t="str">
        <f aca="false">IF(OR('Campaign Overview'!A13="",M173=0),"",P173/M173)</f>
        <v/>
      </c>
    </row>
    <row r="174" customFormat="false" ht="15" hidden="false" customHeight="false" outlineLevel="0" collapsed="false">
      <c r="K174" s="0" t="str">
        <f aca="false">IF('Campaign Overview'!A14="","",'Campaign Overview'!A14)</f>
        <v/>
      </c>
      <c r="L174" s="0" t="str">
        <f aca="false">IF('Campaign Overview'!A14="","",'Campaign Overview'!B14)</f>
        <v/>
      </c>
      <c r="M174" s="0" t="str">
        <f aca="false">IF('Campaign Overview'!A14="","",COUNTIFS('Raw SmartLead Replies'!A:A,'Campaign Overview'!A14))</f>
        <v/>
      </c>
      <c r="N174" s="0" t="str">
        <f aca="false">IF('Campaign Overview'!A14="","",COUNTIFS('Raw SmartLead Replies'!A:A,'Campaign Overview'!A14,'Raw SmartLead Replies'!G:G,"Interested"))</f>
        <v/>
      </c>
      <c r="O174" s="0" t="str">
        <f aca="false">IF('Campaign Overview'!A14="","",COUNTIFS('Raw GHL Data'!C:C,'Campaign Overview'!A14,'Raw GHL Data'!E:E,"&lt;&gt;"))</f>
        <v/>
      </c>
      <c r="P174" s="0" t="str">
        <f aca="false">IF('Campaign Overview'!A14="","",COUNTIFS('Raw GHL Data'!C:C,'Campaign Overview'!A14,'Raw GHL Data'!H:H,"&lt;&gt;"))</f>
        <v/>
      </c>
      <c r="Q174" s="21" t="str">
        <f aca="false">IF(OR('Campaign Overview'!A14="",M174=0),"",P174/M174)</f>
        <v/>
      </c>
    </row>
    <row r="175" customFormat="false" ht="15" hidden="false" customHeight="false" outlineLevel="0" collapsed="false">
      <c r="K175" s="0" t="str">
        <f aca="false">IF('Campaign Overview'!A15="","",'Campaign Overview'!A15)</f>
        <v/>
      </c>
      <c r="L175" s="0" t="str">
        <f aca="false">IF('Campaign Overview'!A15="","",'Campaign Overview'!B15)</f>
        <v/>
      </c>
      <c r="M175" s="0" t="str">
        <f aca="false">IF('Campaign Overview'!A15="","",COUNTIFS('Raw SmartLead Replies'!A:A,'Campaign Overview'!A15))</f>
        <v/>
      </c>
      <c r="N175" s="0" t="str">
        <f aca="false">IF('Campaign Overview'!A15="","",COUNTIFS('Raw SmartLead Replies'!A:A,'Campaign Overview'!A15,'Raw SmartLead Replies'!G:G,"Interested"))</f>
        <v/>
      </c>
      <c r="O175" s="0" t="str">
        <f aca="false">IF('Campaign Overview'!A15="","",COUNTIFS('Raw GHL Data'!C:C,'Campaign Overview'!A15,'Raw GHL Data'!E:E,"&lt;&gt;"))</f>
        <v/>
      </c>
      <c r="P175" s="0" t="str">
        <f aca="false">IF('Campaign Overview'!A15="","",COUNTIFS('Raw GHL Data'!C:C,'Campaign Overview'!A15,'Raw GHL Data'!H:H,"&lt;&gt;"))</f>
        <v/>
      </c>
      <c r="Q175" s="21" t="str">
        <f aca="false">IF(OR('Campaign Overview'!A15="",M175=0),"",P175/M175)</f>
        <v/>
      </c>
    </row>
    <row r="176" customFormat="false" ht="15" hidden="false" customHeight="false" outlineLevel="0" collapsed="false">
      <c r="K176" s="0" t="str">
        <f aca="false">IF('Campaign Overview'!A16="","",'Campaign Overview'!A16)</f>
        <v/>
      </c>
      <c r="L176" s="0" t="str">
        <f aca="false">IF('Campaign Overview'!A16="","",'Campaign Overview'!B16)</f>
        <v/>
      </c>
      <c r="M176" s="0" t="str">
        <f aca="false">IF('Campaign Overview'!A16="","",COUNTIFS('Raw SmartLead Replies'!A:A,'Campaign Overview'!A16))</f>
        <v/>
      </c>
      <c r="N176" s="0" t="str">
        <f aca="false">IF('Campaign Overview'!A16="","",COUNTIFS('Raw SmartLead Replies'!A:A,'Campaign Overview'!A16,'Raw SmartLead Replies'!G:G,"Interested"))</f>
        <v/>
      </c>
      <c r="O176" s="0" t="str">
        <f aca="false">IF('Campaign Overview'!A16="","",COUNTIFS('Raw GHL Data'!C:C,'Campaign Overview'!A16,'Raw GHL Data'!E:E,"&lt;&gt;"))</f>
        <v/>
      </c>
      <c r="P176" s="0" t="str">
        <f aca="false">IF('Campaign Overview'!A16="","",COUNTIFS('Raw GHL Data'!C:C,'Campaign Overview'!A16,'Raw GHL Data'!H:H,"&lt;&gt;"))</f>
        <v/>
      </c>
      <c r="Q176" s="21" t="str">
        <f aca="false">IF(OR('Campaign Overview'!A16="",M176=0),"",P176/M176)</f>
        <v/>
      </c>
    </row>
    <row r="177" customFormat="false" ht="15" hidden="false" customHeight="false" outlineLevel="0" collapsed="false">
      <c r="K177" s="0" t="str">
        <f aca="false">IF('Campaign Overview'!A17="","",'Campaign Overview'!A17)</f>
        <v/>
      </c>
      <c r="L177" s="0" t="str">
        <f aca="false">IF('Campaign Overview'!A17="","",'Campaign Overview'!B17)</f>
        <v/>
      </c>
      <c r="M177" s="0" t="str">
        <f aca="false">IF('Campaign Overview'!A17="","",COUNTIFS('Raw SmartLead Replies'!A:A,'Campaign Overview'!A17))</f>
        <v/>
      </c>
      <c r="N177" s="0" t="str">
        <f aca="false">IF('Campaign Overview'!A17="","",COUNTIFS('Raw SmartLead Replies'!A:A,'Campaign Overview'!A17,'Raw SmartLead Replies'!G:G,"Interested"))</f>
        <v/>
      </c>
      <c r="O177" s="0" t="str">
        <f aca="false">IF('Campaign Overview'!A17="","",COUNTIFS('Raw GHL Data'!C:C,'Campaign Overview'!A17,'Raw GHL Data'!E:E,"&lt;&gt;"))</f>
        <v/>
      </c>
      <c r="P177" s="0" t="str">
        <f aca="false">IF('Campaign Overview'!A17="","",COUNTIFS('Raw GHL Data'!C:C,'Campaign Overview'!A17,'Raw GHL Data'!H:H,"&lt;&gt;"))</f>
        <v/>
      </c>
      <c r="Q177" s="21" t="str">
        <f aca="false">IF(OR('Campaign Overview'!A17="",M177=0),"",P177/M177)</f>
        <v/>
      </c>
    </row>
    <row r="178" customFormat="false" ht="15" hidden="false" customHeight="false" outlineLevel="0" collapsed="false">
      <c r="K178" s="0" t="str">
        <f aca="false">IF('Campaign Overview'!A18="","",'Campaign Overview'!A18)</f>
        <v/>
      </c>
      <c r="L178" s="0" t="str">
        <f aca="false">IF('Campaign Overview'!A18="","",'Campaign Overview'!B18)</f>
        <v/>
      </c>
      <c r="M178" s="0" t="str">
        <f aca="false">IF('Campaign Overview'!A18="","",COUNTIFS('Raw SmartLead Replies'!A:A,'Campaign Overview'!A18))</f>
        <v/>
      </c>
      <c r="N178" s="0" t="str">
        <f aca="false">IF('Campaign Overview'!A18="","",COUNTIFS('Raw SmartLead Replies'!A:A,'Campaign Overview'!A18,'Raw SmartLead Replies'!G:G,"Interested"))</f>
        <v/>
      </c>
      <c r="O178" s="0" t="str">
        <f aca="false">IF('Campaign Overview'!A18="","",COUNTIFS('Raw GHL Data'!C:C,'Campaign Overview'!A18,'Raw GHL Data'!E:E,"&lt;&gt;"))</f>
        <v/>
      </c>
      <c r="P178" s="0" t="str">
        <f aca="false">IF('Campaign Overview'!A18="","",COUNTIFS('Raw GHL Data'!C:C,'Campaign Overview'!A18,'Raw GHL Data'!H:H,"&lt;&gt;"))</f>
        <v/>
      </c>
      <c r="Q178" s="21" t="str">
        <f aca="false">IF(OR('Campaign Overview'!A18="",M178=0),"",P178/M178)</f>
        <v/>
      </c>
    </row>
    <row r="179" customFormat="false" ht="15" hidden="false" customHeight="false" outlineLevel="0" collapsed="false">
      <c r="K179" s="0" t="str">
        <f aca="false">IF('Campaign Overview'!A19="","",'Campaign Overview'!A19)</f>
        <v/>
      </c>
      <c r="L179" s="0" t="str">
        <f aca="false">IF('Campaign Overview'!A19="","",'Campaign Overview'!B19)</f>
        <v/>
      </c>
      <c r="M179" s="0" t="str">
        <f aca="false">IF('Campaign Overview'!A19="","",COUNTIFS('Raw SmartLead Replies'!A:A,'Campaign Overview'!A19))</f>
        <v/>
      </c>
      <c r="N179" s="0" t="str">
        <f aca="false">IF('Campaign Overview'!A19="","",COUNTIFS('Raw SmartLead Replies'!A:A,'Campaign Overview'!A19,'Raw SmartLead Replies'!G:G,"Interested"))</f>
        <v/>
      </c>
      <c r="O179" s="0" t="str">
        <f aca="false">IF('Campaign Overview'!A19="","",COUNTIFS('Raw GHL Data'!C:C,'Campaign Overview'!A19,'Raw GHL Data'!E:E,"&lt;&gt;"))</f>
        <v/>
      </c>
      <c r="P179" s="0" t="str">
        <f aca="false">IF('Campaign Overview'!A19="","",COUNTIFS('Raw GHL Data'!C:C,'Campaign Overview'!A19,'Raw GHL Data'!H:H,"&lt;&gt;"))</f>
        <v/>
      </c>
      <c r="Q179" s="21" t="str">
        <f aca="false">IF(OR('Campaign Overview'!A19="",M179=0),"",P179/M179)</f>
        <v/>
      </c>
    </row>
    <row r="180" customFormat="false" ht="15" hidden="false" customHeight="false" outlineLevel="0" collapsed="false">
      <c r="K180" s="0" t="str">
        <f aca="false">IF('Campaign Overview'!A20="","",'Campaign Overview'!A20)</f>
        <v/>
      </c>
      <c r="L180" s="0" t="str">
        <f aca="false">IF('Campaign Overview'!A20="","",'Campaign Overview'!B20)</f>
        <v/>
      </c>
      <c r="M180" s="0" t="str">
        <f aca="false">IF('Campaign Overview'!A20="","",COUNTIFS('Raw SmartLead Replies'!A:A,'Campaign Overview'!A20))</f>
        <v/>
      </c>
      <c r="N180" s="0" t="str">
        <f aca="false">IF('Campaign Overview'!A20="","",COUNTIFS('Raw SmartLead Replies'!A:A,'Campaign Overview'!A20,'Raw SmartLead Replies'!G:G,"Interested"))</f>
        <v/>
      </c>
      <c r="O180" s="0" t="str">
        <f aca="false">IF('Campaign Overview'!A20="","",COUNTIFS('Raw GHL Data'!C:C,'Campaign Overview'!A20,'Raw GHL Data'!E:E,"&lt;&gt;"))</f>
        <v/>
      </c>
      <c r="P180" s="0" t="str">
        <f aca="false">IF('Campaign Overview'!A20="","",COUNTIFS('Raw GHL Data'!C:C,'Campaign Overview'!A20,'Raw GHL Data'!H:H,"&lt;&gt;"))</f>
        <v/>
      </c>
      <c r="Q180" s="21" t="str">
        <f aca="false">IF(OR('Campaign Overview'!A20="",M180=0),"",P180/M180)</f>
        <v/>
      </c>
    </row>
    <row r="181" customFormat="false" ht="15" hidden="false" customHeight="false" outlineLevel="0" collapsed="false">
      <c r="K181" s="0" t="str">
        <f aca="false">IF('Campaign Overview'!A21="","",'Campaign Overview'!A21)</f>
        <v/>
      </c>
      <c r="L181" s="0" t="str">
        <f aca="false">IF('Campaign Overview'!A21="","",'Campaign Overview'!B21)</f>
        <v/>
      </c>
      <c r="M181" s="0" t="str">
        <f aca="false">IF('Campaign Overview'!A21="","",COUNTIFS('Raw SmartLead Replies'!A:A,'Campaign Overview'!A21))</f>
        <v/>
      </c>
      <c r="N181" s="0" t="str">
        <f aca="false">IF('Campaign Overview'!A21="","",COUNTIFS('Raw SmartLead Replies'!A:A,'Campaign Overview'!A21,'Raw SmartLead Replies'!G:G,"Interested"))</f>
        <v/>
      </c>
      <c r="O181" s="0" t="str">
        <f aca="false">IF('Campaign Overview'!A21="","",COUNTIFS('Raw GHL Data'!C:C,'Campaign Overview'!A21,'Raw GHL Data'!E:E,"&lt;&gt;"))</f>
        <v/>
      </c>
      <c r="P181" s="0" t="str">
        <f aca="false">IF('Campaign Overview'!A21="","",COUNTIFS('Raw GHL Data'!C:C,'Campaign Overview'!A21,'Raw GHL Data'!H:H,"&lt;&gt;"))</f>
        <v/>
      </c>
      <c r="Q181" s="21" t="str">
        <f aca="false">IF(OR('Campaign Overview'!A21="",M181=0),"",P181/M181)</f>
        <v/>
      </c>
    </row>
    <row r="182" customFormat="false" ht="15" hidden="false" customHeight="false" outlineLevel="0" collapsed="false">
      <c r="K182" s="0" t="str">
        <f aca="false">IF('Campaign Overview'!A22="","",'Campaign Overview'!A22)</f>
        <v/>
      </c>
      <c r="L182" s="0" t="str">
        <f aca="false">IF('Campaign Overview'!A22="","",'Campaign Overview'!B22)</f>
        <v/>
      </c>
      <c r="M182" s="0" t="str">
        <f aca="false">IF('Campaign Overview'!A22="","",COUNTIFS('Raw SmartLead Replies'!A:A,'Campaign Overview'!A22))</f>
        <v/>
      </c>
      <c r="N182" s="0" t="str">
        <f aca="false">IF('Campaign Overview'!A22="","",COUNTIFS('Raw SmartLead Replies'!A:A,'Campaign Overview'!A22,'Raw SmartLead Replies'!G:G,"Interested"))</f>
        <v/>
      </c>
      <c r="O182" s="0" t="str">
        <f aca="false">IF('Campaign Overview'!A22="","",COUNTIFS('Raw GHL Data'!C:C,'Campaign Overview'!A22,'Raw GHL Data'!E:E,"&lt;&gt;"))</f>
        <v/>
      </c>
      <c r="P182" s="0" t="str">
        <f aca="false">IF('Campaign Overview'!A22="","",COUNTIFS('Raw GHL Data'!C:C,'Campaign Overview'!A22,'Raw GHL Data'!H:H,"&lt;&gt;"))</f>
        <v/>
      </c>
      <c r="Q182" s="21" t="str">
        <f aca="false">IF(OR('Campaign Overview'!A22="",M182=0),"",P182/M182)</f>
        <v/>
      </c>
    </row>
    <row r="183" customFormat="false" ht="15" hidden="false" customHeight="false" outlineLevel="0" collapsed="false">
      <c r="K183" s="0" t="str">
        <f aca="false">IF('Campaign Overview'!A23="","",'Campaign Overview'!A23)</f>
        <v/>
      </c>
      <c r="L183" s="0" t="str">
        <f aca="false">IF('Campaign Overview'!A23="","",'Campaign Overview'!B23)</f>
        <v/>
      </c>
      <c r="M183" s="0" t="str">
        <f aca="false">IF('Campaign Overview'!A23="","",COUNTIFS('Raw SmartLead Replies'!A:A,'Campaign Overview'!A23))</f>
        <v/>
      </c>
      <c r="N183" s="0" t="str">
        <f aca="false">IF('Campaign Overview'!A23="","",COUNTIFS('Raw SmartLead Replies'!A:A,'Campaign Overview'!A23,'Raw SmartLead Replies'!G:G,"Interested"))</f>
        <v/>
      </c>
      <c r="O183" s="0" t="str">
        <f aca="false">IF('Campaign Overview'!A23="","",COUNTIFS('Raw GHL Data'!C:C,'Campaign Overview'!A23,'Raw GHL Data'!E:E,"&lt;&gt;"))</f>
        <v/>
      </c>
      <c r="P183" s="0" t="str">
        <f aca="false">IF('Campaign Overview'!A23="","",COUNTIFS('Raw GHL Data'!C:C,'Campaign Overview'!A23,'Raw GHL Data'!H:H,"&lt;&gt;"))</f>
        <v/>
      </c>
      <c r="Q183" s="21" t="str">
        <f aca="false">IF(OR('Campaign Overview'!A23="",M183=0),"",P183/M183)</f>
        <v/>
      </c>
    </row>
    <row r="184" customFormat="false" ht="15" hidden="false" customHeight="false" outlineLevel="0" collapsed="false">
      <c r="K184" s="0" t="str">
        <f aca="false">IF('Campaign Overview'!A24="","",'Campaign Overview'!A24)</f>
        <v/>
      </c>
      <c r="L184" s="0" t="str">
        <f aca="false">IF('Campaign Overview'!A24="","",'Campaign Overview'!B24)</f>
        <v/>
      </c>
      <c r="M184" s="0" t="str">
        <f aca="false">IF('Campaign Overview'!A24="","",COUNTIFS('Raw SmartLead Replies'!A:A,'Campaign Overview'!A24))</f>
        <v/>
      </c>
      <c r="N184" s="0" t="str">
        <f aca="false">IF('Campaign Overview'!A24="","",COUNTIFS('Raw SmartLead Replies'!A:A,'Campaign Overview'!A24,'Raw SmartLead Replies'!G:G,"Interested"))</f>
        <v/>
      </c>
      <c r="O184" s="0" t="str">
        <f aca="false">IF('Campaign Overview'!A24="","",COUNTIFS('Raw GHL Data'!C:C,'Campaign Overview'!A24,'Raw GHL Data'!E:E,"&lt;&gt;"))</f>
        <v/>
      </c>
      <c r="P184" s="0" t="str">
        <f aca="false">IF('Campaign Overview'!A24="","",COUNTIFS('Raw GHL Data'!C:C,'Campaign Overview'!A24,'Raw GHL Data'!H:H,"&lt;&gt;"))</f>
        <v/>
      </c>
      <c r="Q184" s="21" t="str">
        <f aca="false">IF(OR('Campaign Overview'!A24="",M184=0),"",P184/M184)</f>
        <v/>
      </c>
    </row>
    <row r="185" customFormat="false" ht="15" hidden="false" customHeight="false" outlineLevel="0" collapsed="false">
      <c r="K185" s="0" t="str">
        <f aca="false">IF('Campaign Overview'!A25="","",'Campaign Overview'!A25)</f>
        <v/>
      </c>
      <c r="L185" s="0" t="str">
        <f aca="false">IF('Campaign Overview'!A25="","",'Campaign Overview'!B25)</f>
        <v/>
      </c>
      <c r="M185" s="0" t="str">
        <f aca="false">IF('Campaign Overview'!A25="","",COUNTIFS('Raw SmartLead Replies'!A:A,'Campaign Overview'!A25))</f>
        <v/>
      </c>
      <c r="N185" s="0" t="str">
        <f aca="false">IF('Campaign Overview'!A25="","",COUNTIFS('Raw SmartLead Replies'!A:A,'Campaign Overview'!A25,'Raw SmartLead Replies'!G:G,"Interested"))</f>
        <v/>
      </c>
      <c r="O185" s="0" t="str">
        <f aca="false">IF('Campaign Overview'!A25="","",COUNTIFS('Raw GHL Data'!C:C,'Campaign Overview'!A25,'Raw GHL Data'!E:E,"&lt;&gt;"))</f>
        <v/>
      </c>
      <c r="P185" s="0" t="str">
        <f aca="false">IF('Campaign Overview'!A25="","",COUNTIFS('Raw GHL Data'!C:C,'Campaign Overview'!A25,'Raw GHL Data'!H:H,"&lt;&gt;"))</f>
        <v/>
      </c>
      <c r="Q185" s="21" t="str">
        <f aca="false">IF(OR('Campaign Overview'!A25="",M185=0),"",P185/M185)</f>
        <v/>
      </c>
    </row>
    <row r="186" customFormat="false" ht="15" hidden="false" customHeight="false" outlineLevel="0" collapsed="false">
      <c r="K186" s="0" t="str">
        <f aca="false">IF('Campaign Overview'!A26="","",'Campaign Overview'!A26)</f>
        <v/>
      </c>
      <c r="L186" s="0" t="str">
        <f aca="false">IF('Campaign Overview'!A26="","",'Campaign Overview'!B26)</f>
        <v/>
      </c>
      <c r="M186" s="0" t="str">
        <f aca="false">IF('Campaign Overview'!A26="","",COUNTIFS('Raw SmartLead Replies'!A:A,'Campaign Overview'!A26))</f>
        <v/>
      </c>
      <c r="N186" s="0" t="str">
        <f aca="false">IF('Campaign Overview'!A26="","",COUNTIFS('Raw SmartLead Replies'!A:A,'Campaign Overview'!A26,'Raw SmartLead Replies'!G:G,"Interested"))</f>
        <v/>
      </c>
      <c r="O186" s="0" t="str">
        <f aca="false">IF('Campaign Overview'!A26="","",COUNTIFS('Raw GHL Data'!C:C,'Campaign Overview'!A26,'Raw GHL Data'!E:E,"&lt;&gt;"))</f>
        <v/>
      </c>
      <c r="P186" s="0" t="str">
        <f aca="false">IF('Campaign Overview'!A26="","",COUNTIFS('Raw GHL Data'!C:C,'Campaign Overview'!A26,'Raw GHL Data'!H:H,"&lt;&gt;"))</f>
        <v/>
      </c>
      <c r="Q186" s="21" t="str">
        <f aca="false">IF(OR('Campaign Overview'!A26="",M186=0),"",P186/M186)</f>
        <v/>
      </c>
    </row>
    <row r="187" customFormat="false" ht="15" hidden="false" customHeight="false" outlineLevel="0" collapsed="false">
      <c r="K187" s="0" t="str">
        <f aca="false">IF('Campaign Overview'!A27="","",'Campaign Overview'!A27)</f>
        <v/>
      </c>
      <c r="L187" s="0" t="str">
        <f aca="false">IF('Campaign Overview'!A27="","",'Campaign Overview'!B27)</f>
        <v/>
      </c>
      <c r="M187" s="0" t="str">
        <f aca="false">IF('Campaign Overview'!A27="","",COUNTIFS('Raw SmartLead Replies'!A:A,'Campaign Overview'!A27))</f>
        <v/>
      </c>
      <c r="N187" s="0" t="str">
        <f aca="false">IF('Campaign Overview'!A27="","",COUNTIFS('Raw SmartLead Replies'!A:A,'Campaign Overview'!A27,'Raw SmartLead Replies'!G:G,"Interested"))</f>
        <v/>
      </c>
      <c r="O187" s="0" t="str">
        <f aca="false">IF('Campaign Overview'!A27="","",COUNTIFS('Raw GHL Data'!C:C,'Campaign Overview'!A27,'Raw GHL Data'!E:E,"&lt;&gt;"))</f>
        <v/>
      </c>
      <c r="P187" s="0" t="str">
        <f aca="false">IF('Campaign Overview'!A27="","",COUNTIFS('Raw GHL Data'!C:C,'Campaign Overview'!A27,'Raw GHL Data'!H:H,"&lt;&gt;"))</f>
        <v/>
      </c>
      <c r="Q187" s="21" t="str">
        <f aca="false">IF(OR('Campaign Overview'!A27="",M187=0),"",P187/M187)</f>
        <v/>
      </c>
    </row>
    <row r="188" customFormat="false" ht="15" hidden="false" customHeight="false" outlineLevel="0" collapsed="false">
      <c r="K188" s="0" t="str">
        <f aca="false">IF('Campaign Overview'!A28="","",'Campaign Overview'!A28)</f>
        <v/>
      </c>
      <c r="L188" s="0" t="str">
        <f aca="false">IF('Campaign Overview'!A28="","",'Campaign Overview'!B28)</f>
        <v/>
      </c>
      <c r="M188" s="0" t="str">
        <f aca="false">IF('Campaign Overview'!A28="","",COUNTIFS('Raw SmartLead Replies'!A:A,'Campaign Overview'!A28))</f>
        <v/>
      </c>
      <c r="N188" s="0" t="str">
        <f aca="false">IF('Campaign Overview'!A28="","",COUNTIFS('Raw SmartLead Replies'!A:A,'Campaign Overview'!A28,'Raw SmartLead Replies'!G:G,"Interested"))</f>
        <v/>
      </c>
      <c r="O188" s="0" t="str">
        <f aca="false">IF('Campaign Overview'!A28="","",COUNTIFS('Raw GHL Data'!C:C,'Campaign Overview'!A28,'Raw GHL Data'!E:E,"&lt;&gt;"))</f>
        <v/>
      </c>
      <c r="P188" s="0" t="str">
        <f aca="false">IF('Campaign Overview'!A28="","",COUNTIFS('Raw GHL Data'!C:C,'Campaign Overview'!A28,'Raw GHL Data'!H:H,"&lt;&gt;"))</f>
        <v/>
      </c>
      <c r="Q188" s="21" t="str">
        <f aca="false">IF(OR('Campaign Overview'!A28="",M188=0),"",P188/M188)</f>
        <v/>
      </c>
    </row>
    <row r="189" customFormat="false" ht="15" hidden="false" customHeight="false" outlineLevel="0" collapsed="false">
      <c r="K189" s="0" t="str">
        <f aca="false">IF('Campaign Overview'!A29="","",'Campaign Overview'!A29)</f>
        <v/>
      </c>
      <c r="L189" s="0" t="str">
        <f aca="false">IF('Campaign Overview'!A29="","",'Campaign Overview'!B29)</f>
        <v/>
      </c>
      <c r="M189" s="0" t="str">
        <f aca="false">IF('Campaign Overview'!A29="","",COUNTIFS('Raw SmartLead Replies'!A:A,'Campaign Overview'!A29))</f>
        <v/>
      </c>
      <c r="N189" s="0" t="str">
        <f aca="false">IF('Campaign Overview'!A29="","",COUNTIFS('Raw SmartLead Replies'!A:A,'Campaign Overview'!A29,'Raw SmartLead Replies'!G:G,"Interested"))</f>
        <v/>
      </c>
      <c r="O189" s="0" t="str">
        <f aca="false">IF('Campaign Overview'!A29="","",COUNTIFS('Raw GHL Data'!C:C,'Campaign Overview'!A29,'Raw GHL Data'!E:E,"&lt;&gt;"))</f>
        <v/>
      </c>
      <c r="P189" s="0" t="str">
        <f aca="false">IF('Campaign Overview'!A29="","",COUNTIFS('Raw GHL Data'!C:C,'Campaign Overview'!A29,'Raw GHL Data'!H:H,"&lt;&gt;"))</f>
        <v/>
      </c>
      <c r="Q189" s="21" t="str">
        <f aca="false">IF(OR('Campaign Overview'!A29="",M189=0),"",P189/M189)</f>
        <v/>
      </c>
    </row>
    <row r="190" customFormat="false" ht="15" hidden="false" customHeight="false" outlineLevel="0" collapsed="false">
      <c r="K190" s="0" t="str">
        <f aca="false">IF('Campaign Overview'!A30="","",'Campaign Overview'!A30)</f>
        <v/>
      </c>
      <c r="L190" s="0" t="str">
        <f aca="false">IF('Campaign Overview'!A30="","",'Campaign Overview'!B30)</f>
        <v/>
      </c>
      <c r="M190" s="0" t="str">
        <f aca="false">IF('Campaign Overview'!A30="","",COUNTIFS('Raw SmartLead Replies'!A:A,'Campaign Overview'!A30))</f>
        <v/>
      </c>
      <c r="N190" s="0" t="str">
        <f aca="false">IF('Campaign Overview'!A30="","",COUNTIFS('Raw SmartLead Replies'!A:A,'Campaign Overview'!A30,'Raw SmartLead Replies'!G:G,"Interested"))</f>
        <v/>
      </c>
      <c r="O190" s="0" t="str">
        <f aca="false">IF('Campaign Overview'!A30="","",COUNTIFS('Raw GHL Data'!C:C,'Campaign Overview'!A30,'Raw GHL Data'!E:E,"&lt;&gt;"))</f>
        <v/>
      </c>
      <c r="P190" s="0" t="str">
        <f aca="false">IF('Campaign Overview'!A30="","",COUNTIFS('Raw GHL Data'!C:C,'Campaign Overview'!A30,'Raw GHL Data'!H:H,"&lt;&gt;"))</f>
        <v/>
      </c>
      <c r="Q190" s="21" t="str">
        <f aca="false">IF(OR('Campaign Overview'!A30="",M190=0),"",P190/M190)</f>
        <v/>
      </c>
    </row>
    <row r="191" customFormat="false" ht="15" hidden="false" customHeight="false" outlineLevel="0" collapsed="false">
      <c r="K191" s="0" t="str">
        <f aca="false">IF('Campaign Overview'!A31="","",'Campaign Overview'!A31)</f>
        <v/>
      </c>
      <c r="L191" s="0" t="str">
        <f aca="false">IF('Campaign Overview'!A31="","",'Campaign Overview'!B31)</f>
        <v/>
      </c>
      <c r="M191" s="0" t="str">
        <f aca="false">IF('Campaign Overview'!A31="","",COUNTIFS('Raw SmartLead Replies'!A:A,'Campaign Overview'!A31))</f>
        <v/>
      </c>
      <c r="N191" s="0" t="str">
        <f aca="false">IF('Campaign Overview'!A31="","",COUNTIFS('Raw SmartLead Replies'!A:A,'Campaign Overview'!A31,'Raw SmartLead Replies'!G:G,"Interested"))</f>
        <v/>
      </c>
      <c r="O191" s="0" t="str">
        <f aca="false">IF('Campaign Overview'!A31="","",COUNTIFS('Raw GHL Data'!C:C,'Campaign Overview'!A31,'Raw GHL Data'!E:E,"&lt;&gt;"))</f>
        <v/>
      </c>
      <c r="P191" s="0" t="str">
        <f aca="false">IF('Campaign Overview'!A31="","",COUNTIFS('Raw GHL Data'!C:C,'Campaign Overview'!A31,'Raw GHL Data'!H:H,"&lt;&gt;"))</f>
        <v/>
      </c>
      <c r="Q191" s="21" t="str">
        <f aca="false">IF(OR('Campaign Overview'!A31="",M191=0),"",P191/M191)</f>
        <v/>
      </c>
    </row>
    <row r="192" customFormat="false" ht="15" hidden="false" customHeight="false" outlineLevel="0" collapsed="false">
      <c r="K192" s="0" t="str">
        <f aca="false">IF('Campaign Overview'!A32="","",'Campaign Overview'!A32)</f>
        <v/>
      </c>
      <c r="L192" s="0" t="str">
        <f aca="false">IF('Campaign Overview'!A32="","",'Campaign Overview'!B32)</f>
        <v/>
      </c>
      <c r="M192" s="0" t="str">
        <f aca="false">IF('Campaign Overview'!A32="","",COUNTIFS('Raw SmartLead Replies'!A:A,'Campaign Overview'!A32))</f>
        <v/>
      </c>
      <c r="N192" s="0" t="str">
        <f aca="false">IF('Campaign Overview'!A32="","",COUNTIFS('Raw SmartLead Replies'!A:A,'Campaign Overview'!A32,'Raw SmartLead Replies'!G:G,"Interested"))</f>
        <v/>
      </c>
      <c r="O192" s="0" t="str">
        <f aca="false">IF('Campaign Overview'!A32="","",COUNTIFS('Raw GHL Data'!C:C,'Campaign Overview'!A32,'Raw GHL Data'!E:E,"&lt;&gt;"))</f>
        <v/>
      </c>
      <c r="P192" s="0" t="str">
        <f aca="false">IF('Campaign Overview'!A32="","",COUNTIFS('Raw GHL Data'!C:C,'Campaign Overview'!A32,'Raw GHL Data'!H:H,"&lt;&gt;"))</f>
        <v/>
      </c>
      <c r="Q192" s="21" t="str">
        <f aca="false">IF(OR('Campaign Overview'!A32="",M192=0),"",P192/M192)</f>
        <v/>
      </c>
    </row>
    <row r="193" customFormat="false" ht="15" hidden="false" customHeight="false" outlineLevel="0" collapsed="false">
      <c r="K193" s="0" t="str">
        <f aca="false">IF('Campaign Overview'!A33="","",'Campaign Overview'!A33)</f>
        <v/>
      </c>
      <c r="L193" s="0" t="str">
        <f aca="false">IF('Campaign Overview'!A33="","",'Campaign Overview'!B33)</f>
        <v/>
      </c>
      <c r="M193" s="0" t="str">
        <f aca="false">IF('Campaign Overview'!A33="","",COUNTIFS('Raw SmartLead Replies'!A:A,'Campaign Overview'!A33))</f>
        <v/>
      </c>
      <c r="N193" s="0" t="str">
        <f aca="false">IF('Campaign Overview'!A33="","",COUNTIFS('Raw SmartLead Replies'!A:A,'Campaign Overview'!A33,'Raw SmartLead Replies'!G:G,"Interested"))</f>
        <v/>
      </c>
      <c r="O193" s="0" t="str">
        <f aca="false">IF('Campaign Overview'!A33="","",COUNTIFS('Raw GHL Data'!C:C,'Campaign Overview'!A33,'Raw GHL Data'!E:E,"&lt;&gt;"))</f>
        <v/>
      </c>
      <c r="P193" s="0" t="str">
        <f aca="false">IF('Campaign Overview'!A33="","",COUNTIFS('Raw GHL Data'!C:C,'Campaign Overview'!A33,'Raw GHL Data'!H:H,"&lt;&gt;"))</f>
        <v/>
      </c>
      <c r="Q193" s="21" t="str">
        <f aca="false">IF(OR('Campaign Overview'!A33="",M193=0),"",P193/M193)</f>
        <v/>
      </c>
    </row>
    <row r="194" customFormat="false" ht="15" hidden="false" customHeight="false" outlineLevel="0" collapsed="false">
      <c r="K194" s="0" t="str">
        <f aca="false">IF('Campaign Overview'!A34="","",'Campaign Overview'!A34)</f>
        <v/>
      </c>
      <c r="L194" s="0" t="str">
        <f aca="false">IF('Campaign Overview'!A34="","",'Campaign Overview'!B34)</f>
        <v/>
      </c>
      <c r="M194" s="0" t="str">
        <f aca="false">IF('Campaign Overview'!A34="","",COUNTIFS('Raw SmartLead Replies'!A:A,'Campaign Overview'!A34))</f>
        <v/>
      </c>
      <c r="N194" s="0" t="str">
        <f aca="false">IF('Campaign Overview'!A34="","",COUNTIFS('Raw SmartLead Replies'!A:A,'Campaign Overview'!A34,'Raw SmartLead Replies'!G:G,"Interested"))</f>
        <v/>
      </c>
      <c r="O194" s="0" t="str">
        <f aca="false">IF('Campaign Overview'!A34="","",COUNTIFS('Raw GHL Data'!C:C,'Campaign Overview'!A34,'Raw GHL Data'!E:E,"&lt;&gt;"))</f>
        <v/>
      </c>
      <c r="P194" s="0" t="str">
        <f aca="false">IF('Campaign Overview'!A34="","",COUNTIFS('Raw GHL Data'!C:C,'Campaign Overview'!A34,'Raw GHL Data'!H:H,"&lt;&gt;"))</f>
        <v/>
      </c>
      <c r="Q194" s="21" t="str">
        <f aca="false">IF(OR('Campaign Overview'!A34="",M194=0),"",P194/M194)</f>
        <v/>
      </c>
    </row>
    <row r="195" customFormat="false" ht="15" hidden="false" customHeight="false" outlineLevel="0" collapsed="false">
      <c r="K195" s="0" t="str">
        <f aca="false">IF('Campaign Overview'!A35="","",'Campaign Overview'!A35)</f>
        <v/>
      </c>
      <c r="L195" s="0" t="str">
        <f aca="false">IF('Campaign Overview'!A35="","",'Campaign Overview'!B35)</f>
        <v/>
      </c>
      <c r="M195" s="0" t="str">
        <f aca="false">IF('Campaign Overview'!A35="","",COUNTIFS('Raw SmartLead Replies'!A:A,'Campaign Overview'!A35))</f>
        <v/>
      </c>
      <c r="N195" s="0" t="str">
        <f aca="false">IF('Campaign Overview'!A35="","",COUNTIFS('Raw SmartLead Replies'!A:A,'Campaign Overview'!A35,'Raw SmartLead Replies'!G:G,"Interested"))</f>
        <v/>
      </c>
      <c r="O195" s="0" t="str">
        <f aca="false">IF('Campaign Overview'!A35="","",COUNTIFS('Raw GHL Data'!C:C,'Campaign Overview'!A35,'Raw GHL Data'!E:E,"&lt;&gt;"))</f>
        <v/>
      </c>
      <c r="P195" s="0" t="str">
        <f aca="false">IF('Campaign Overview'!A35="","",COUNTIFS('Raw GHL Data'!C:C,'Campaign Overview'!A35,'Raw GHL Data'!H:H,"&lt;&gt;"))</f>
        <v/>
      </c>
      <c r="Q195" s="21" t="str">
        <f aca="false">IF(OR('Campaign Overview'!A35="",M195=0),"",P195/M195)</f>
        <v/>
      </c>
    </row>
    <row r="196" customFormat="false" ht="15" hidden="false" customHeight="false" outlineLevel="0" collapsed="false">
      <c r="K196" s="0" t="str">
        <f aca="false">IF('Campaign Overview'!A36="","",'Campaign Overview'!A36)</f>
        <v/>
      </c>
      <c r="L196" s="0" t="str">
        <f aca="false">IF('Campaign Overview'!A36="","",'Campaign Overview'!B36)</f>
        <v/>
      </c>
      <c r="M196" s="0" t="str">
        <f aca="false">IF('Campaign Overview'!A36="","",COUNTIFS('Raw SmartLead Replies'!A:A,'Campaign Overview'!A36))</f>
        <v/>
      </c>
      <c r="N196" s="0" t="str">
        <f aca="false">IF('Campaign Overview'!A36="","",COUNTIFS('Raw SmartLead Replies'!A:A,'Campaign Overview'!A36,'Raw SmartLead Replies'!G:G,"Interested"))</f>
        <v/>
      </c>
      <c r="O196" s="0" t="str">
        <f aca="false">IF('Campaign Overview'!A36="","",COUNTIFS('Raw GHL Data'!C:C,'Campaign Overview'!A36,'Raw GHL Data'!E:E,"&lt;&gt;"))</f>
        <v/>
      </c>
      <c r="P196" s="0" t="str">
        <f aca="false">IF('Campaign Overview'!A36="","",COUNTIFS('Raw GHL Data'!C:C,'Campaign Overview'!A36,'Raw GHL Data'!H:H,"&lt;&gt;"))</f>
        <v/>
      </c>
      <c r="Q196" s="21" t="str">
        <f aca="false">IF(OR('Campaign Overview'!A36="",M196=0),"",P196/M196)</f>
        <v/>
      </c>
    </row>
    <row r="197" customFormat="false" ht="15" hidden="false" customHeight="false" outlineLevel="0" collapsed="false">
      <c r="K197" s="0" t="str">
        <f aca="false">IF('Campaign Overview'!A37="","",'Campaign Overview'!A37)</f>
        <v/>
      </c>
      <c r="L197" s="0" t="str">
        <f aca="false">IF('Campaign Overview'!A37="","",'Campaign Overview'!B37)</f>
        <v/>
      </c>
      <c r="M197" s="0" t="str">
        <f aca="false">IF('Campaign Overview'!A37="","",COUNTIFS('Raw SmartLead Replies'!A:A,'Campaign Overview'!A37))</f>
        <v/>
      </c>
      <c r="N197" s="0" t="str">
        <f aca="false">IF('Campaign Overview'!A37="","",COUNTIFS('Raw SmartLead Replies'!A:A,'Campaign Overview'!A37,'Raw SmartLead Replies'!G:G,"Interested"))</f>
        <v/>
      </c>
      <c r="O197" s="0" t="str">
        <f aca="false">IF('Campaign Overview'!A37="","",COUNTIFS('Raw GHL Data'!C:C,'Campaign Overview'!A37,'Raw GHL Data'!E:E,"&lt;&gt;"))</f>
        <v/>
      </c>
      <c r="P197" s="0" t="str">
        <f aca="false">IF('Campaign Overview'!A37="","",COUNTIFS('Raw GHL Data'!C:C,'Campaign Overview'!A37,'Raw GHL Data'!H:H,"&lt;&gt;"))</f>
        <v/>
      </c>
      <c r="Q197" s="21" t="str">
        <f aca="false">IF(OR('Campaign Overview'!A37="",M197=0),"",P197/M197)</f>
        <v/>
      </c>
    </row>
    <row r="198" customFormat="false" ht="15" hidden="false" customHeight="false" outlineLevel="0" collapsed="false">
      <c r="K198" s="0" t="str">
        <f aca="false">IF('Campaign Overview'!A38="","",'Campaign Overview'!A38)</f>
        <v/>
      </c>
      <c r="L198" s="0" t="str">
        <f aca="false">IF('Campaign Overview'!A38="","",'Campaign Overview'!B38)</f>
        <v/>
      </c>
      <c r="M198" s="0" t="str">
        <f aca="false">IF('Campaign Overview'!A38="","",COUNTIFS('Raw SmartLead Replies'!A:A,'Campaign Overview'!A38))</f>
        <v/>
      </c>
      <c r="N198" s="0" t="str">
        <f aca="false">IF('Campaign Overview'!A38="","",COUNTIFS('Raw SmartLead Replies'!A:A,'Campaign Overview'!A38,'Raw SmartLead Replies'!G:G,"Interested"))</f>
        <v/>
      </c>
      <c r="O198" s="0" t="str">
        <f aca="false">IF('Campaign Overview'!A38="","",COUNTIFS('Raw GHL Data'!C:C,'Campaign Overview'!A38,'Raw GHL Data'!E:E,"&lt;&gt;"))</f>
        <v/>
      </c>
      <c r="P198" s="0" t="str">
        <f aca="false">IF('Campaign Overview'!A38="","",COUNTIFS('Raw GHL Data'!C:C,'Campaign Overview'!A38,'Raw GHL Data'!H:H,"&lt;&gt;"))</f>
        <v/>
      </c>
      <c r="Q198" s="21" t="str">
        <f aca="false">IF(OR('Campaign Overview'!A38="",M198=0),"",P198/M198)</f>
        <v/>
      </c>
    </row>
    <row r="199" customFormat="false" ht="15" hidden="false" customHeight="false" outlineLevel="0" collapsed="false">
      <c r="K199" s="0" t="str">
        <f aca="false">IF('Campaign Overview'!A39="","",'Campaign Overview'!A39)</f>
        <v/>
      </c>
      <c r="L199" s="0" t="str">
        <f aca="false">IF('Campaign Overview'!A39="","",'Campaign Overview'!B39)</f>
        <v/>
      </c>
      <c r="M199" s="0" t="str">
        <f aca="false">IF('Campaign Overview'!A39="","",COUNTIFS('Raw SmartLead Replies'!A:A,'Campaign Overview'!A39))</f>
        <v/>
      </c>
      <c r="N199" s="0" t="str">
        <f aca="false">IF('Campaign Overview'!A39="","",COUNTIFS('Raw SmartLead Replies'!A:A,'Campaign Overview'!A39,'Raw SmartLead Replies'!G:G,"Interested"))</f>
        <v/>
      </c>
      <c r="O199" s="0" t="str">
        <f aca="false">IF('Campaign Overview'!A39="","",COUNTIFS('Raw GHL Data'!C:C,'Campaign Overview'!A39,'Raw GHL Data'!E:E,"&lt;&gt;"))</f>
        <v/>
      </c>
      <c r="P199" s="0" t="str">
        <f aca="false">IF('Campaign Overview'!A39="","",COUNTIFS('Raw GHL Data'!C:C,'Campaign Overview'!A39,'Raw GHL Data'!H:H,"&lt;&gt;"))</f>
        <v/>
      </c>
      <c r="Q199" s="21" t="str">
        <f aca="false">IF(OR('Campaign Overview'!A39="",M199=0),"",P199/M199)</f>
        <v/>
      </c>
    </row>
    <row r="200" customFormat="false" ht="15" hidden="false" customHeight="false" outlineLevel="0" collapsed="false">
      <c r="K200" s="0" t="str">
        <f aca="false">IF('Campaign Overview'!A40="","",'Campaign Overview'!A40)</f>
        <v/>
      </c>
      <c r="L200" s="0" t="str">
        <f aca="false">IF('Campaign Overview'!A40="","",'Campaign Overview'!B40)</f>
        <v/>
      </c>
      <c r="M200" s="0" t="str">
        <f aca="false">IF('Campaign Overview'!A40="","",COUNTIFS('Raw SmartLead Replies'!A:A,'Campaign Overview'!A40))</f>
        <v/>
      </c>
      <c r="N200" s="0" t="str">
        <f aca="false">IF('Campaign Overview'!A40="","",COUNTIFS('Raw SmartLead Replies'!A:A,'Campaign Overview'!A40,'Raw SmartLead Replies'!G:G,"Interested"))</f>
        <v/>
      </c>
      <c r="O200" s="0" t="str">
        <f aca="false">IF('Campaign Overview'!A40="","",COUNTIFS('Raw GHL Data'!C:C,'Campaign Overview'!A40,'Raw GHL Data'!E:E,"&lt;&gt;"))</f>
        <v/>
      </c>
      <c r="P200" s="0" t="str">
        <f aca="false">IF('Campaign Overview'!A40="","",COUNTIFS('Raw GHL Data'!C:C,'Campaign Overview'!A40,'Raw GHL Data'!H:H,"&lt;&gt;"))</f>
        <v/>
      </c>
      <c r="Q200" s="21" t="str">
        <f aca="false">IF(OR('Campaign Overview'!A40="",M200=0),"",P200/M200)</f>
        <v/>
      </c>
    </row>
    <row r="201" customFormat="false" ht="15" hidden="false" customHeight="false" outlineLevel="0" collapsed="false">
      <c r="K201" s="0" t="str">
        <f aca="false">IF('Campaign Overview'!A41="","",'Campaign Overview'!A41)</f>
        <v/>
      </c>
      <c r="L201" s="0" t="str">
        <f aca="false">IF('Campaign Overview'!A41="","",'Campaign Overview'!B41)</f>
        <v/>
      </c>
      <c r="M201" s="0" t="str">
        <f aca="false">IF('Campaign Overview'!A41="","",COUNTIFS('Raw SmartLead Replies'!A:A,'Campaign Overview'!A41))</f>
        <v/>
      </c>
      <c r="N201" s="0" t="str">
        <f aca="false">IF('Campaign Overview'!A41="","",COUNTIFS('Raw SmartLead Replies'!A:A,'Campaign Overview'!A41,'Raw SmartLead Replies'!G:G,"Interested"))</f>
        <v/>
      </c>
      <c r="O201" s="0" t="str">
        <f aca="false">IF('Campaign Overview'!A41="","",COUNTIFS('Raw GHL Data'!C:C,'Campaign Overview'!A41,'Raw GHL Data'!E:E,"&lt;&gt;"))</f>
        <v/>
      </c>
      <c r="P201" s="0" t="str">
        <f aca="false">IF('Campaign Overview'!A41="","",COUNTIFS('Raw GHL Data'!C:C,'Campaign Overview'!A41,'Raw GHL Data'!H:H,"&lt;&gt;"))</f>
        <v/>
      </c>
      <c r="Q201" s="21" t="str">
        <f aca="false">IF(OR('Campaign Overview'!A41="",M201=0),"",P201/M201)</f>
        <v/>
      </c>
    </row>
    <row r="202" customFormat="false" ht="15" hidden="false" customHeight="false" outlineLevel="0" collapsed="false">
      <c r="K202" s="0" t="str">
        <f aca="false">IF('Campaign Overview'!A42="","",'Campaign Overview'!A42)</f>
        <v/>
      </c>
      <c r="L202" s="0" t="str">
        <f aca="false">IF('Campaign Overview'!A42="","",'Campaign Overview'!B42)</f>
        <v/>
      </c>
      <c r="M202" s="0" t="str">
        <f aca="false">IF('Campaign Overview'!A42="","",COUNTIFS('Raw SmartLead Replies'!A:A,'Campaign Overview'!A42))</f>
        <v/>
      </c>
      <c r="N202" s="0" t="str">
        <f aca="false">IF('Campaign Overview'!A42="","",COUNTIFS('Raw SmartLead Replies'!A:A,'Campaign Overview'!A42,'Raw SmartLead Replies'!G:G,"Interested"))</f>
        <v/>
      </c>
      <c r="O202" s="0" t="str">
        <f aca="false">IF('Campaign Overview'!A42="","",COUNTIFS('Raw GHL Data'!C:C,'Campaign Overview'!A42,'Raw GHL Data'!E:E,"&lt;&gt;"))</f>
        <v/>
      </c>
      <c r="P202" s="0" t="str">
        <f aca="false">IF('Campaign Overview'!A42="","",COUNTIFS('Raw GHL Data'!C:C,'Campaign Overview'!A42,'Raw GHL Data'!H:H,"&lt;&gt;"))</f>
        <v/>
      </c>
      <c r="Q202" s="21" t="str">
        <f aca="false">IF(OR('Campaign Overview'!A42="",M202=0),"",P202/M202)</f>
        <v/>
      </c>
    </row>
    <row r="203" customFormat="false" ht="15" hidden="false" customHeight="false" outlineLevel="0" collapsed="false">
      <c r="K203" s="0" t="str">
        <f aca="false">IF('Campaign Overview'!A43="","",'Campaign Overview'!A43)</f>
        <v/>
      </c>
      <c r="L203" s="0" t="str">
        <f aca="false">IF('Campaign Overview'!A43="","",'Campaign Overview'!B43)</f>
        <v/>
      </c>
      <c r="M203" s="0" t="str">
        <f aca="false">IF('Campaign Overview'!A43="","",COUNTIFS('Raw SmartLead Replies'!A:A,'Campaign Overview'!A43))</f>
        <v/>
      </c>
      <c r="N203" s="0" t="str">
        <f aca="false">IF('Campaign Overview'!A43="","",COUNTIFS('Raw SmartLead Replies'!A:A,'Campaign Overview'!A43,'Raw SmartLead Replies'!G:G,"Interested"))</f>
        <v/>
      </c>
      <c r="O203" s="0" t="str">
        <f aca="false">IF('Campaign Overview'!A43="","",COUNTIFS('Raw GHL Data'!C:C,'Campaign Overview'!A43,'Raw GHL Data'!E:E,"&lt;&gt;"))</f>
        <v/>
      </c>
      <c r="P203" s="0" t="str">
        <f aca="false">IF('Campaign Overview'!A43="","",COUNTIFS('Raw GHL Data'!C:C,'Campaign Overview'!A43,'Raw GHL Data'!H:H,"&lt;&gt;"))</f>
        <v/>
      </c>
      <c r="Q203" s="21" t="str">
        <f aca="false">IF(OR('Campaign Overview'!A43="",M203=0),"",P203/M203)</f>
        <v/>
      </c>
    </row>
    <row r="204" customFormat="false" ht="15" hidden="false" customHeight="false" outlineLevel="0" collapsed="false">
      <c r="K204" s="0" t="str">
        <f aca="false">IF('Campaign Overview'!A44="","",'Campaign Overview'!A44)</f>
        <v/>
      </c>
      <c r="L204" s="0" t="str">
        <f aca="false">IF('Campaign Overview'!A44="","",'Campaign Overview'!B44)</f>
        <v/>
      </c>
      <c r="M204" s="0" t="str">
        <f aca="false">IF('Campaign Overview'!A44="","",COUNTIFS('Raw SmartLead Replies'!A:A,'Campaign Overview'!A44))</f>
        <v/>
      </c>
      <c r="N204" s="0" t="str">
        <f aca="false">IF('Campaign Overview'!A44="","",COUNTIFS('Raw SmartLead Replies'!A:A,'Campaign Overview'!A44,'Raw SmartLead Replies'!G:G,"Interested"))</f>
        <v/>
      </c>
      <c r="O204" s="0" t="str">
        <f aca="false">IF('Campaign Overview'!A44="","",COUNTIFS('Raw GHL Data'!C:C,'Campaign Overview'!A44,'Raw GHL Data'!E:E,"&lt;&gt;"))</f>
        <v/>
      </c>
      <c r="P204" s="0" t="str">
        <f aca="false">IF('Campaign Overview'!A44="","",COUNTIFS('Raw GHL Data'!C:C,'Campaign Overview'!A44,'Raw GHL Data'!H:H,"&lt;&gt;"))</f>
        <v/>
      </c>
      <c r="Q204" s="21" t="str">
        <f aca="false">IF(OR('Campaign Overview'!A44="",M204=0),"",P204/M204)</f>
        <v/>
      </c>
    </row>
    <row r="205" customFormat="false" ht="15" hidden="false" customHeight="false" outlineLevel="0" collapsed="false">
      <c r="K205" s="0" t="str">
        <f aca="false">IF('Campaign Overview'!A45="","",'Campaign Overview'!A45)</f>
        <v/>
      </c>
      <c r="L205" s="0" t="str">
        <f aca="false">IF('Campaign Overview'!A45="","",'Campaign Overview'!B45)</f>
        <v/>
      </c>
      <c r="M205" s="0" t="str">
        <f aca="false">IF('Campaign Overview'!A45="","",COUNTIFS('Raw SmartLead Replies'!A:A,'Campaign Overview'!A45))</f>
        <v/>
      </c>
      <c r="N205" s="0" t="str">
        <f aca="false">IF('Campaign Overview'!A45="","",COUNTIFS('Raw SmartLead Replies'!A:A,'Campaign Overview'!A45,'Raw SmartLead Replies'!G:G,"Interested"))</f>
        <v/>
      </c>
      <c r="O205" s="0" t="str">
        <f aca="false">IF('Campaign Overview'!A45="","",COUNTIFS('Raw GHL Data'!C:C,'Campaign Overview'!A45,'Raw GHL Data'!E:E,"&lt;&gt;"))</f>
        <v/>
      </c>
      <c r="P205" s="0" t="str">
        <f aca="false">IF('Campaign Overview'!A45="","",COUNTIFS('Raw GHL Data'!C:C,'Campaign Overview'!A45,'Raw GHL Data'!H:H,"&lt;&gt;"))</f>
        <v/>
      </c>
      <c r="Q205" s="21" t="str">
        <f aca="false">IF(OR('Campaign Overview'!A45="",M205=0),"",P205/M205)</f>
        <v/>
      </c>
    </row>
    <row r="206" customFormat="false" ht="15" hidden="false" customHeight="false" outlineLevel="0" collapsed="false">
      <c r="K206" s="0" t="str">
        <f aca="false">IF('Campaign Overview'!A46="","",'Campaign Overview'!A46)</f>
        <v/>
      </c>
      <c r="L206" s="0" t="str">
        <f aca="false">IF('Campaign Overview'!A46="","",'Campaign Overview'!B46)</f>
        <v/>
      </c>
      <c r="M206" s="0" t="str">
        <f aca="false">IF('Campaign Overview'!A46="","",COUNTIFS('Raw SmartLead Replies'!A:A,'Campaign Overview'!A46))</f>
        <v/>
      </c>
      <c r="N206" s="0" t="str">
        <f aca="false">IF('Campaign Overview'!A46="","",COUNTIFS('Raw SmartLead Replies'!A:A,'Campaign Overview'!A46,'Raw SmartLead Replies'!G:G,"Interested"))</f>
        <v/>
      </c>
      <c r="O206" s="0" t="str">
        <f aca="false">IF('Campaign Overview'!A46="","",COUNTIFS('Raw GHL Data'!C:C,'Campaign Overview'!A46,'Raw GHL Data'!E:E,"&lt;&gt;"))</f>
        <v/>
      </c>
      <c r="P206" s="0" t="str">
        <f aca="false">IF('Campaign Overview'!A46="","",COUNTIFS('Raw GHL Data'!C:C,'Campaign Overview'!A46,'Raw GHL Data'!H:H,"&lt;&gt;"))</f>
        <v/>
      </c>
      <c r="Q206" s="21" t="str">
        <f aca="false">IF(OR('Campaign Overview'!A46="",M206=0),"",P206/M206)</f>
        <v/>
      </c>
    </row>
    <row r="207" customFormat="false" ht="15" hidden="false" customHeight="false" outlineLevel="0" collapsed="false">
      <c r="K207" s="0" t="str">
        <f aca="false">IF('Campaign Overview'!A47="","",'Campaign Overview'!A47)</f>
        <v/>
      </c>
      <c r="L207" s="0" t="str">
        <f aca="false">IF('Campaign Overview'!A47="","",'Campaign Overview'!B47)</f>
        <v/>
      </c>
      <c r="M207" s="0" t="str">
        <f aca="false">IF('Campaign Overview'!A47="","",COUNTIFS('Raw SmartLead Replies'!A:A,'Campaign Overview'!A47))</f>
        <v/>
      </c>
      <c r="N207" s="0" t="str">
        <f aca="false">IF('Campaign Overview'!A47="","",COUNTIFS('Raw SmartLead Replies'!A:A,'Campaign Overview'!A47,'Raw SmartLead Replies'!G:G,"Interested"))</f>
        <v/>
      </c>
      <c r="O207" s="0" t="str">
        <f aca="false">IF('Campaign Overview'!A47="","",COUNTIFS('Raw GHL Data'!C:C,'Campaign Overview'!A47,'Raw GHL Data'!E:E,"&lt;&gt;"))</f>
        <v/>
      </c>
      <c r="P207" s="0" t="str">
        <f aca="false">IF('Campaign Overview'!A47="","",COUNTIFS('Raw GHL Data'!C:C,'Campaign Overview'!A47,'Raw GHL Data'!H:H,"&lt;&gt;"))</f>
        <v/>
      </c>
      <c r="Q207" s="21" t="str">
        <f aca="false">IF(OR('Campaign Overview'!A47="",M207=0),"",P207/M207)</f>
        <v/>
      </c>
    </row>
    <row r="208" customFormat="false" ht="15" hidden="false" customHeight="false" outlineLevel="0" collapsed="false">
      <c r="K208" s="0" t="str">
        <f aca="false">IF('Campaign Overview'!A48="","",'Campaign Overview'!A48)</f>
        <v/>
      </c>
      <c r="L208" s="0" t="str">
        <f aca="false">IF('Campaign Overview'!A48="","",'Campaign Overview'!B48)</f>
        <v/>
      </c>
      <c r="M208" s="0" t="str">
        <f aca="false">IF('Campaign Overview'!A48="","",COUNTIFS('Raw SmartLead Replies'!A:A,'Campaign Overview'!A48))</f>
        <v/>
      </c>
      <c r="N208" s="0" t="str">
        <f aca="false">IF('Campaign Overview'!A48="","",COUNTIFS('Raw SmartLead Replies'!A:A,'Campaign Overview'!A48,'Raw SmartLead Replies'!G:G,"Interested"))</f>
        <v/>
      </c>
      <c r="O208" s="0" t="str">
        <f aca="false">IF('Campaign Overview'!A48="","",COUNTIFS('Raw GHL Data'!C:C,'Campaign Overview'!A48,'Raw GHL Data'!E:E,"&lt;&gt;"))</f>
        <v/>
      </c>
      <c r="P208" s="0" t="str">
        <f aca="false">IF('Campaign Overview'!A48="","",COUNTIFS('Raw GHL Data'!C:C,'Campaign Overview'!A48,'Raw GHL Data'!H:H,"&lt;&gt;"))</f>
        <v/>
      </c>
      <c r="Q208" s="21" t="str">
        <f aca="false">IF(OR('Campaign Overview'!A48="",M208=0),"",P208/M208)</f>
        <v/>
      </c>
    </row>
    <row r="209" customFormat="false" ht="15" hidden="false" customHeight="false" outlineLevel="0" collapsed="false">
      <c r="K209" s="0" t="str">
        <f aca="false">IF('Campaign Overview'!A49="","",'Campaign Overview'!A49)</f>
        <v/>
      </c>
      <c r="L209" s="0" t="str">
        <f aca="false">IF('Campaign Overview'!A49="","",'Campaign Overview'!B49)</f>
        <v/>
      </c>
      <c r="M209" s="0" t="str">
        <f aca="false">IF('Campaign Overview'!A49="","",COUNTIFS('Raw SmartLead Replies'!A:A,'Campaign Overview'!A49))</f>
        <v/>
      </c>
      <c r="N209" s="0" t="str">
        <f aca="false">IF('Campaign Overview'!A49="","",COUNTIFS('Raw SmartLead Replies'!A:A,'Campaign Overview'!A49,'Raw SmartLead Replies'!G:G,"Interested"))</f>
        <v/>
      </c>
      <c r="O209" s="0" t="str">
        <f aca="false">IF('Campaign Overview'!A49="","",COUNTIFS('Raw GHL Data'!C:C,'Campaign Overview'!A49,'Raw GHL Data'!E:E,"&lt;&gt;"))</f>
        <v/>
      </c>
      <c r="P209" s="0" t="str">
        <f aca="false">IF('Campaign Overview'!A49="","",COUNTIFS('Raw GHL Data'!C:C,'Campaign Overview'!A49,'Raw GHL Data'!H:H,"&lt;&gt;"))</f>
        <v/>
      </c>
      <c r="Q209" s="21" t="str">
        <f aca="false">IF(OR('Campaign Overview'!A49="",M209=0),"",P209/M209)</f>
        <v/>
      </c>
    </row>
    <row r="210" customFormat="false" ht="15" hidden="false" customHeight="false" outlineLevel="0" collapsed="false">
      <c r="K210" s="0" t="str">
        <f aca="false">IF('Campaign Overview'!A50="","",'Campaign Overview'!A50)</f>
        <v/>
      </c>
      <c r="L210" s="0" t="str">
        <f aca="false">IF('Campaign Overview'!A50="","",'Campaign Overview'!B50)</f>
        <v/>
      </c>
      <c r="M210" s="0" t="str">
        <f aca="false">IF('Campaign Overview'!A50="","",COUNTIFS('Raw SmartLead Replies'!A:A,'Campaign Overview'!A50))</f>
        <v/>
      </c>
      <c r="N210" s="0" t="str">
        <f aca="false">IF('Campaign Overview'!A50="","",COUNTIFS('Raw SmartLead Replies'!A:A,'Campaign Overview'!A50,'Raw SmartLead Replies'!G:G,"Interested"))</f>
        <v/>
      </c>
      <c r="O210" s="0" t="str">
        <f aca="false">IF('Campaign Overview'!A50="","",COUNTIFS('Raw GHL Data'!C:C,'Campaign Overview'!A50,'Raw GHL Data'!E:E,"&lt;&gt;"))</f>
        <v/>
      </c>
      <c r="P210" s="0" t="str">
        <f aca="false">IF('Campaign Overview'!A50="","",COUNTIFS('Raw GHL Data'!C:C,'Campaign Overview'!A50,'Raw GHL Data'!H:H,"&lt;&gt;"))</f>
        <v/>
      </c>
      <c r="Q210" s="21" t="str">
        <f aca="false">IF(OR('Campaign Overview'!A50="",M210=0),"",P210/M210)</f>
        <v/>
      </c>
    </row>
    <row r="211" customFormat="false" ht="15" hidden="false" customHeight="false" outlineLevel="0" collapsed="false">
      <c r="K211" s="0" t="str">
        <f aca="false">IF('Campaign Overview'!A51="","",'Campaign Overview'!A51)</f>
        <v/>
      </c>
      <c r="L211" s="0" t="str">
        <f aca="false">IF('Campaign Overview'!A51="","",'Campaign Overview'!B51)</f>
        <v/>
      </c>
      <c r="M211" s="0" t="str">
        <f aca="false">IF('Campaign Overview'!A51="","",COUNTIFS('Raw SmartLead Replies'!A:A,'Campaign Overview'!A51))</f>
        <v/>
      </c>
      <c r="N211" s="0" t="str">
        <f aca="false">IF('Campaign Overview'!A51="","",COUNTIFS('Raw SmartLead Replies'!A:A,'Campaign Overview'!A51,'Raw SmartLead Replies'!G:G,"Interested"))</f>
        <v/>
      </c>
      <c r="O211" s="0" t="str">
        <f aca="false">IF('Campaign Overview'!A51="","",COUNTIFS('Raw GHL Data'!C:C,'Campaign Overview'!A51,'Raw GHL Data'!E:E,"&lt;&gt;"))</f>
        <v/>
      </c>
      <c r="P211" s="0" t="str">
        <f aca="false">IF('Campaign Overview'!A51="","",COUNTIFS('Raw GHL Data'!C:C,'Campaign Overview'!A51,'Raw GHL Data'!H:H,"&lt;&gt;"))</f>
        <v/>
      </c>
      <c r="Q211" s="21" t="str">
        <f aca="false">IF(OR('Campaign Overview'!A51="",M211=0),"",P211/M211)</f>
        <v/>
      </c>
    </row>
    <row r="212" customFormat="false" ht="15" hidden="false" customHeight="false" outlineLevel="0" collapsed="false">
      <c r="K212" s="0" t="str">
        <f aca="false">IF('Campaign Overview'!A52="","",'Campaign Overview'!A52)</f>
        <v/>
      </c>
      <c r="L212" s="0" t="str">
        <f aca="false">IF('Campaign Overview'!A52="","",'Campaign Overview'!B52)</f>
        <v/>
      </c>
      <c r="M212" s="0" t="str">
        <f aca="false">IF('Campaign Overview'!A52="","",COUNTIFS('Raw SmartLead Replies'!A:A,'Campaign Overview'!A52))</f>
        <v/>
      </c>
      <c r="N212" s="0" t="str">
        <f aca="false">IF('Campaign Overview'!A52="","",COUNTIFS('Raw SmartLead Replies'!A:A,'Campaign Overview'!A52,'Raw SmartLead Replies'!G:G,"Interested"))</f>
        <v/>
      </c>
      <c r="O212" s="0" t="str">
        <f aca="false">IF('Campaign Overview'!A52="","",COUNTIFS('Raw GHL Data'!C:C,'Campaign Overview'!A52,'Raw GHL Data'!E:E,"&lt;&gt;"))</f>
        <v/>
      </c>
      <c r="P212" s="0" t="str">
        <f aca="false">IF('Campaign Overview'!A52="","",COUNTIFS('Raw GHL Data'!C:C,'Campaign Overview'!A52,'Raw GHL Data'!H:H,"&lt;&gt;"))</f>
        <v/>
      </c>
      <c r="Q212" s="21" t="str">
        <f aca="false">IF(OR('Campaign Overview'!A52="",M212=0),"",P212/M212)</f>
        <v/>
      </c>
    </row>
    <row r="213" customFormat="false" ht="15" hidden="false" customHeight="false" outlineLevel="0" collapsed="false">
      <c r="K213" s="0" t="str">
        <f aca="false">IF('Campaign Overview'!A53="","",'Campaign Overview'!A53)</f>
        <v/>
      </c>
      <c r="L213" s="0" t="str">
        <f aca="false">IF('Campaign Overview'!A53="","",'Campaign Overview'!B53)</f>
        <v/>
      </c>
      <c r="M213" s="0" t="str">
        <f aca="false">IF('Campaign Overview'!A53="","",COUNTIFS('Raw SmartLead Replies'!A:A,'Campaign Overview'!A53))</f>
        <v/>
      </c>
      <c r="N213" s="0" t="str">
        <f aca="false">IF('Campaign Overview'!A53="","",COUNTIFS('Raw SmartLead Replies'!A:A,'Campaign Overview'!A53,'Raw SmartLead Replies'!G:G,"Interested"))</f>
        <v/>
      </c>
      <c r="O213" s="0" t="str">
        <f aca="false">IF('Campaign Overview'!A53="","",COUNTIFS('Raw GHL Data'!C:C,'Campaign Overview'!A53,'Raw GHL Data'!E:E,"&lt;&gt;"))</f>
        <v/>
      </c>
      <c r="P213" s="0" t="str">
        <f aca="false">IF('Campaign Overview'!A53="","",COUNTIFS('Raw GHL Data'!C:C,'Campaign Overview'!A53,'Raw GHL Data'!H:H,"&lt;&gt;"))</f>
        <v/>
      </c>
      <c r="Q213" s="21" t="str">
        <f aca="false">IF(OR('Campaign Overview'!A53="",M213=0),"",P213/M213)</f>
        <v/>
      </c>
    </row>
    <row r="214" customFormat="false" ht="15" hidden="false" customHeight="false" outlineLevel="0" collapsed="false">
      <c r="K214" s="0" t="str">
        <f aca="false">IF('Campaign Overview'!A54="","",'Campaign Overview'!A54)</f>
        <v/>
      </c>
      <c r="L214" s="0" t="str">
        <f aca="false">IF('Campaign Overview'!A54="","",'Campaign Overview'!B54)</f>
        <v/>
      </c>
      <c r="M214" s="0" t="str">
        <f aca="false">IF('Campaign Overview'!A54="","",COUNTIFS('Raw SmartLead Replies'!A:A,'Campaign Overview'!A54))</f>
        <v/>
      </c>
      <c r="N214" s="0" t="str">
        <f aca="false">IF('Campaign Overview'!A54="","",COUNTIFS('Raw SmartLead Replies'!A:A,'Campaign Overview'!A54,'Raw SmartLead Replies'!G:G,"Interested"))</f>
        <v/>
      </c>
      <c r="O214" s="0" t="str">
        <f aca="false">IF('Campaign Overview'!A54="","",COUNTIFS('Raw GHL Data'!C:C,'Campaign Overview'!A54,'Raw GHL Data'!E:E,"&lt;&gt;"))</f>
        <v/>
      </c>
      <c r="P214" s="0" t="str">
        <f aca="false">IF('Campaign Overview'!A54="","",COUNTIFS('Raw GHL Data'!C:C,'Campaign Overview'!A54,'Raw GHL Data'!H:H,"&lt;&gt;"))</f>
        <v/>
      </c>
      <c r="Q214" s="21" t="str">
        <f aca="false">IF(OR('Campaign Overview'!A54="",M214=0),"",P214/M214)</f>
        <v/>
      </c>
    </row>
    <row r="215" customFormat="false" ht="15" hidden="false" customHeight="false" outlineLevel="0" collapsed="false">
      <c r="K215" s="0" t="str">
        <f aca="false">IF('Campaign Overview'!A55="","",'Campaign Overview'!A55)</f>
        <v/>
      </c>
      <c r="L215" s="0" t="str">
        <f aca="false">IF('Campaign Overview'!A55="","",'Campaign Overview'!B55)</f>
        <v/>
      </c>
      <c r="M215" s="0" t="str">
        <f aca="false">IF('Campaign Overview'!A55="","",COUNTIFS('Raw SmartLead Replies'!A:A,'Campaign Overview'!A55))</f>
        <v/>
      </c>
      <c r="N215" s="0" t="str">
        <f aca="false">IF('Campaign Overview'!A55="","",COUNTIFS('Raw SmartLead Replies'!A:A,'Campaign Overview'!A55,'Raw SmartLead Replies'!G:G,"Interested"))</f>
        <v/>
      </c>
      <c r="O215" s="0" t="str">
        <f aca="false">IF('Campaign Overview'!A55="","",COUNTIFS('Raw GHL Data'!C:C,'Campaign Overview'!A55,'Raw GHL Data'!E:E,"&lt;&gt;"))</f>
        <v/>
      </c>
      <c r="P215" s="0" t="str">
        <f aca="false">IF('Campaign Overview'!A55="","",COUNTIFS('Raw GHL Data'!C:C,'Campaign Overview'!A55,'Raw GHL Data'!H:H,"&lt;&gt;"))</f>
        <v/>
      </c>
      <c r="Q215" s="21" t="str">
        <f aca="false">IF(OR('Campaign Overview'!A55="",M215=0),"",P215/M215)</f>
        <v/>
      </c>
    </row>
    <row r="216" customFormat="false" ht="15" hidden="false" customHeight="false" outlineLevel="0" collapsed="false">
      <c r="K216" s="0" t="str">
        <f aca="false">IF('Campaign Overview'!A56="","",'Campaign Overview'!A56)</f>
        <v/>
      </c>
      <c r="L216" s="0" t="str">
        <f aca="false">IF('Campaign Overview'!A56="","",'Campaign Overview'!B56)</f>
        <v/>
      </c>
      <c r="M216" s="0" t="str">
        <f aca="false">IF('Campaign Overview'!A56="","",COUNTIFS('Raw SmartLead Replies'!A:A,'Campaign Overview'!A56))</f>
        <v/>
      </c>
      <c r="N216" s="0" t="str">
        <f aca="false">IF('Campaign Overview'!A56="","",COUNTIFS('Raw SmartLead Replies'!A:A,'Campaign Overview'!A56,'Raw SmartLead Replies'!G:G,"Interested"))</f>
        <v/>
      </c>
      <c r="O216" s="0" t="str">
        <f aca="false">IF('Campaign Overview'!A56="","",COUNTIFS('Raw GHL Data'!C:C,'Campaign Overview'!A56,'Raw GHL Data'!E:E,"&lt;&gt;"))</f>
        <v/>
      </c>
      <c r="P216" s="0" t="str">
        <f aca="false">IF('Campaign Overview'!A56="","",COUNTIFS('Raw GHL Data'!C:C,'Campaign Overview'!A56,'Raw GHL Data'!H:H,"&lt;&gt;"))</f>
        <v/>
      </c>
      <c r="Q216" s="21" t="str">
        <f aca="false">IF(OR('Campaign Overview'!A56="",M216=0),"",P216/M216)</f>
        <v/>
      </c>
    </row>
    <row r="217" customFormat="false" ht="15" hidden="false" customHeight="false" outlineLevel="0" collapsed="false">
      <c r="K217" s="0" t="str">
        <f aca="false">IF('Campaign Overview'!A57="","",'Campaign Overview'!A57)</f>
        <v/>
      </c>
      <c r="L217" s="0" t="str">
        <f aca="false">IF('Campaign Overview'!A57="","",'Campaign Overview'!B57)</f>
        <v/>
      </c>
      <c r="M217" s="0" t="str">
        <f aca="false">IF('Campaign Overview'!A57="","",COUNTIFS('Raw SmartLead Replies'!A:A,'Campaign Overview'!A57))</f>
        <v/>
      </c>
      <c r="N217" s="0" t="str">
        <f aca="false">IF('Campaign Overview'!A57="","",COUNTIFS('Raw SmartLead Replies'!A:A,'Campaign Overview'!A57,'Raw SmartLead Replies'!G:G,"Interested"))</f>
        <v/>
      </c>
      <c r="O217" s="0" t="str">
        <f aca="false">IF('Campaign Overview'!A57="","",COUNTIFS('Raw GHL Data'!C:C,'Campaign Overview'!A57,'Raw GHL Data'!E:E,"&lt;&gt;"))</f>
        <v/>
      </c>
      <c r="P217" s="0" t="str">
        <f aca="false">IF('Campaign Overview'!A57="","",COUNTIFS('Raw GHL Data'!C:C,'Campaign Overview'!A57,'Raw GHL Data'!H:H,"&lt;&gt;"))</f>
        <v/>
      </c>
      <c r="Q217" s="21" t="str">
        <f aca="false">IF(OR('Campaign Overview'!A57="",M217=0),"",P217/M217)</f>
        <v/>
      </c>
    </row>
    <row r="218" customFormat="false" ht="15" hidden="false" customHeight="false" outlineLevel="0" collapsed="false">
      <c r="K218" s="0" t="str">
        <f aca="false">IF('Campaign Overview'!A58="","",'Campaign Overview'!A58)</f>
        <v/>
      </c>
      <c r="L218" s="0" t="str">
        <f aca="false">IF('Campaign Overview'!A58="","",'Campaign Overview'!B58)</f>
        <v/>
      </c>
      <c r="M218" s="0" t="str">
        <f aca="false">IF('Campaign Overview'!A58="","",COUNTIFS('Raw SmartLead Replies'!A:A,'Campaign Overview'!A58))</f>
        <v/>
      </c>
      <c r="N218" s="0" t="str">
        <f aca="false">IF('Campaign Overview'!A58="","",COUNTIFS('Raw SmartLead Replies'!A:A,'Campaign Overview'!A58,'Raw SmartLead Replies'!G:G,"Interested"))</f>
        <v/>
      </c>
      <c r="O218" s="0" t="str">
        <f aca="false">IF('Campaign Overview'!A58="","",COUNTIFS('Raw GHL Data'!C:C,'Campaign Overview'!A58,'Raw GHL Data'!E:E,"&lt;&gt;"))</f>
        <v/>
      </c>
      <c r="P218" s="0" t="str">
        <f aca="false">IF('Campaign Overview'!A58="","",COUNTIFS('Raw GHL Data'!C:C,'Campaign Overview'!A58,'Raw GHL Data'!H:H,"&lt;&gt;"))</f>
        <v/>
      </c>
      <c r="Q218" s="21" t="str">
        <f aca="false">IF(OR('Campaign Overview'!A58="",M218=0),"",P218/M218)</f>
        <v/>
      </c>
    </row>
    <row r="219" customFormat="false" ht="15" hidden="false" customHeight="false" outlineLevel="0" collapsed="false">
      <c r="K219" s="0" t="str">
        <f aca="false">IF('Campaign Overview'!A59="","",'Campaign Overview'!A59)</f>
        <v/>
      </c>
      <c r="L219" s="0" t="str">
        <f aca="false">IF('Campaign Overview'!A59="","",'Campaign Overview'!B59)</f>
        <v/>
      </c>
      <c r="M219" s="0" t="str">
        <f aca="false">IF('Campaign Overview'!A59="","",COUNTIFS('Raw SmartLead Replies'!A:A,'Campaign Overview'!A59))</f>
        <v/>
      </c>
      <c r="N219" s="0" t="str">
        <f aca="false">IF('Campaign Overview'!A59="","",COUNTIFS('Raw SmartLead Replies'!A:A,'Campaign Overview'!A59,'Raw SmartLead Replies'!G:G,"Interested"))</f>
        <v/>
      </c>
      <c r="O219" s="0" t="str">
        <f aca="false">IF('Campaign Overview'!A59="","",COUNTIFS('Raw GHL Data'!C:C,'Campaign Overview'!A59,'Raw GHL Data'!E:E,"&lt;&gt;"))</f>
        <v/>
      </c>
      <c r="P219" s="0" t="str">
        <f aca="false">IF('Campaign Overview'!A59="","",COUNTIFS('Raw GHL Data'!C:C,'Campaign Overview'!A59,'Raw GHL Data'!H:H,"&lt;&gt;"))</f>
        <v/>
      </c>
      <c r="Q219" s="21" t="str">
        <f aca="false">IF(OR('Campaign Overview'!A59="",M219=0),"",P219/M219)</f>
        <v/>
      </c>
    </row>
    <row r="220" customFormat="false" ht="15" hidden="false" customHeight="false" outlineLevel="0" collapsed="false">
      <c r="K220" s="0" t="str">
        <f aca="false">IF('Campaign Overview'!A60="","",'Campaign Overview'!A60)</f>
        <v/>
      </c>
      <c r="L220" s="0" t="str">
        <f aca="false">IF('Campaign Overview'!A60="","",'Campaign Overview'!B60)</f>
        <v/>
      </c>
      <c r="M220" s="0" t="str">
        <f aca="false">IF('Campaign Overview'!A60="","",COUNTIFS('Raw SmartLead Replies'!A:A,'Campaign Overview'!A60))</f>
        <v/>
      </c>
      <c r="N220" s="0" t="str">
        <f aca="false">IF('Campaign Overview'!A60="","",COUNTIFS('Raw SmartLead Replies'!A:A,'Campaign Overview'!A60,'Raw SmartLead Replies'!G:G,"Interested"))</f>
        <v/>
      </c>
      <c r="O220" s="0" t="str">
        <f aca="false">IF('Campaign Overview'!A60="","",COUNTIFS('Raw GHL Data'!C:C,'Campaign Overview'!A60,'Raw GHL Data'!E:E,"&lt;&gt;"))</f>
        <v/>
      </c>
      <c r="P220" s="0" t="str">
        <f aca="false">IF('Campaign Overview'!A60="","",COUNTIFS('Raw GHL Data'!C:C,'Campaign Overview'!A60,'Raw GHL Data'!H:H,"&lt;&gt;"))</f>
        <v/>
      </c>
      <c r="Q220" s="21" t="str">
        <f aca="false">IF(OR('Campaign Overview'!A60="",M220=0),"",P220/M220)</f>
        <v/>
      </c>
    </row>
    <row r="221" customFormat="false" ht="15" hidden="false" customHeight="false" outlineLevel="0" collapsed="false">
      <c r="K221" s="0" t="str">
        <f aca="false">IF('Campaign Overview'!A61="","",'Campaign Overview'!A61)</f>
        <v/>
      </c>
      <c r="L221" s="0" t="str">
        <f aca="false">IF('Campaign Overview'!A61="","",'Campaign Overview'!B61)</f>
        <v/>
      </c>
      <c r="M221" s="0" t="str">
        <f aca="false">IF('Campaign Overview'!A61="","",COUNTIFS('Raw SmartLead Replies'!A:A,'Campaign Overview'!A61))</f>
        <v/>
      </c>
      <c r="N221" s="0" t="str">
        <f aca="false">IF('Campaign Overview'!A61="","",COUNTIFS('Raw SmartLead Replies'!A:A,'Campaign Overview'!A61,'Raw SmartLead Replies'!G:G,"Interested"))</f>
        <v/>
      </c>
      <c r="O221" s="0" t="str">
        <f aca="false">IF('Campaign Overview'!A61="","",COUNTIFS('Raw GHL Data'!C:C,'Campaign Overview'!A61,'Raw GHL Data'!E:E,"&lt;&gt;"))</f>
        <v/>
      </c>
      <c r="P221" s="0" t="str">
        <f aca="false">IF('Campaign Overview'!A61="","",COUNTIFS('Raw GHL Data'!C:C,'Campaign Overview'!A61,'Raw GHL Data'!H:H,"&lt;&gt;"))</f>
        <v/>
      </c>
      <c r="Q221" s="21" t="str">
        <f aca="false">IF(OR('Campaign Overview'!A61="",M221=0),"",P221/M221)</f>
        <v/>
      </c>
    </row>
    <row r="222" customFormat="false" ht="15" hidden="false" customHeight="false" outlineLevel="0" collapsed="false">
      <c r="K222" s="0" t="str">
        <f aca="false">IF('Campaign Overview'!A62="","",'Campaign Overview'!A62)</f>
        <v/>
      </c>
      <c r="L222" s="0" t="str">
        <f aca="false">IF('Campaign Overview'!A62="","",'Campaign Overview'!B62)</f>
        <v/>
      </c>
      <c r="M222" s="0" t="str">
        <f aca="false">IF('Campaign Overview'!A62="","",COUNTIFS('Raw SmartLead Replies'!A:A,'Campaign Overview'!A62))</f>
        <v/>
      </c>
      <c r="N222" s="0" t="str">
        <f aca="false">IF('Campaign Overview'!A62="","",COUNTIFS('Raw SmartLead Replies'!A:A,'Campaign Overview'!A62,'Raw SmartLead Replies'!G:G,"Interested"))</f>
        <v/>
      </c>
      <c r="O222" s="0" t="str">
        <f aca="false">IF('Campaign Overview'!A62="","",COUNTIFS('Raw GHL Data'!C:C,'Campaign Overview'!A62,'Raw GHL Data'!E:E,"&lt;&gt;"))</f>
        <v/>
      </c>
      <c r="P222" s="0" t="str">
        <f aca="false">IF('Campaign Overview'!A62="","",COUNTIFS('Raw GHL Data'!C:C,'Campaign Overview'!A62,'Raw GHL Data'!H:H,"&lt;&gt;"))</f>
        <v/>
      </c>
      <c r="Q222" s="21" t="str">
        <f aca="false">IF(OR('Campaign Overview'!A62="",M222=0),"",P222/M222)</f>
        <v/>
      </c>
    </row>
    <row r="223" customFormat="false" ht="15" hidden="false" customHeight="false" outlineLevel="0" collapsed="false">
      <c r="K223" s="0" t="str">
        <f aca="false">IF('Campaign Overview'!A63="","",'Campaign Overview'!A63)</f>
        <v/>
      </c>
      <c r="L223" s="0" t="str">
        <f aca="false">IF('Campaign Overview'!A63="","",'Campaign Overview'!B63)</f>
        <v/>
      </c>
      <c r="M223" s="0" t="str">
        <f aca="false">IF('Campaign Overview'!A63="","",COUNTIFS('Raw SmartLead Replies'!A:A,'Campaign Overview'!A63))</f>
        <v/>
      </c>
      <c r="N223" s="0" t="str">
        <f aca="false">IF('Campaign Overview'!A63="","",COUNTIFS('Raw SmartLead Replies'!A:A,'Campaign Overview'!A63,'Raw SmartLead Replies'!G:G,"Interested"))</f>
        <v/>
      </c>
      <c r="O223" s="0" t="str">
        <f aca="false">IF('Campaign Overview'!A63="","",COUNTIFS('Raw GHL Data'!C:C,'Campaign Overview'!A63,'Raw GHL Data'!E:E,"&lt;&gt;"))</f>
        <v/>
      </c>
      <c r="P223" s="0" t="str">
        <f aca="false">IF('Campaign Overview'!A63="","",COUNTIFS('Raw GHL Data'!C:C,'Campaign Overview'!A63,'Raw GHL Data'!H:H,"&lt;&gt;"))</f>
        <v/>
      </c>
      <c r="Q223" s="21" t="str">
        <f aca="false">IF(OR('Campaign Overview'!A63="",M223=0),"",P223/M223)</f>
        <v/>
      </c>
    </row>
    <row r="224" customFormat="false" ht="15" hidden="false" customHeight="false" outlineLevel="0" collapsed="false">
      <c r="K224" s="0" t="str">
        <f aca="false">IF('Campaign Overview'!A64="","",'Campaign Overview'!A64)</f>
        <v/>
      </c>
      <c r="L224" s="0" t="str">
        <f aca="false">IF('Campaign Overview'!A64="","",'Campaign Overview'!B64)</f>
        <v/>
      </c>
      <c r="M224" s="0" t="str">
        <f aca="false">IF('Campaign Overview'!A64="","",COUNTIFS('Raw SmartLead Replies'!A:A,'Campaign Overview'!A64))</f>
        <v/>
      </c>
      <c r="N224" s="0" t="str">
        <f aca="false">IF('Campaign Overview'!A64="","",COUNTIFS('Raw SmartLead Replies'!A:A,'Campaign Overview'!A64,'Raw SmartLead Replies'!G:G,"Interested"))</f>
        <v/>
      </c>
      <c r="O224" s="0" t="str">
        <f aca="false">IF('Campaign Overview'!A64="","",COUNTIFS('Raw GHL Data'!C:C,'Campaign Overview'!A64,'Raw GHL Data'!E:E,"&lt;&gt;"))</f>
        <v/>
      </c>
      <c r="P224" s="0" t="str">
        <f aca="false">IF('Campaign Overview'!A64="","",COUNTIFS('Raw GHL Data'!C:C,'Campaign Overview'!A64,'Raw GHL Data'!H:H,"&lt;&gt;"))</f>
        <v/>
      </c>
      <c r="Q224" s="21" t="str">
        <f aca="false">IF(OR('Campaign Overview'!A64="",M224=0),"",P224/M224)</f>
        <v/>
      </c>
    </row>
    <row r="225" customFormat="false" ht="15" hidden="false" customHeight="false" outlineLevel="0" collapsed="false">
      <c r="K225" s="0" t="str">
        <f aca="false">IF('Campaign Overview'!A65="","",'Campaign Overview'!A65)</f>
        <v/>
      </c>
      <c r="L225" s="0" t="str">
        <f aca="false">IF('Campaign Overview'!A65="","",'Campaign Overview'!B65)</f>
        <v/>
      </c>
      <c r="M225" s="0" t="str">
        <f aca="false">IF('Campaign Overview'!A65="","",COUNTIFS('Raw SmartLead Replies'!A:A,'Campaign Overview'!A65))</f>
        <v/>
      </c>
      <c r="N225" s="0" t="str">
        <f aca="false">IF('Campaign Overview'!A65="","",COUNTIFS('Raw SmartLead Replies'!A:A,'Campaign Overview'!A65,'Raw SmartLead Replies'!G:G,"Interested"))</f>
        <v/>
      </c>
      <c r="O225" s="0" t="str">
        <f aca="false">IF('Campaign Overview'!A65="","",COUNTIFS('Raw GHL Data'!C:C,'Campaign Overview'!A65,'Raw GHL Data'!E:E,"&lt;&gt;"))</f>
        <v/>
      </c>
      <c r="P225" s="0" t="str">
        <f aca="false">IF('Campaign Overview'!A65="","",COUNTIFS('Raw GHL Data'!C:C,'Campaign Overview'!A65,'Raw GHL Data'!H:H,"&lt;&gt;"))</f>
        <v/>
      </c>
      <c r="Q225" s="21" t="str">
        <f aca="false">IF(OR('Campaign Overview'!A65="",M225=0),"",P225/M225)</f>
        <v/>
      </c>
    </row>
    <row r="226" customFormat="false" ht="15" hidden="false" customHeight="false" outlineLevel="0" collapsed="false">
      <c r="K226" s="0" t="str">
        <f aca="false">IF('Campaign Overview'!A66="","",'Campaign Overview'!A66)</f>
        <v/>
      </c>
      <c r="L226" s="0" t="str">
        <f aca="false">IF('Campaign Overview'!A66="","",'Campaign Overview'!B66)</f>
        <v/>
      </c>
      <c r="M226" s="0" t="str">
        <f aca="false">IF('Campaign Overview'!A66="","",COUNTIFS('Raw SmartLead Replies'!A:A,'Campaign Overview'!A66))</f>
        <v/>
      </c>
      <c r="N226" s="0" t="str">
        <f aca="false">IF('Campaign Overview'!A66="","",COUNTIFS('Raw SmartLead Replies'!A:A,'Campaign Overview'!A66,'Raw SmartLead Replies'!G:G,"Interested"))</f>
        <v/>
      </c>
      <c r="O226" s="0" t="str">
        <f aca="false">IF('Campaign Overview'!A66="","",COUNTIFS('Raw GHL Data'!C:C,'Campaign Overview'!A66,'Raw GHL Data'!E:E,"&lt;&gt;"))</f>
        <v/>
      </c>
      <c r="P226" s="0" t="str">
        <f aca="false">IF('Campaign Overview'!A66="","",COUNTIFS('Raw GHL Data'!C:C,'Campaign Overview'!A66,'Raw GHL Data'!H:H,"&lt;&gt;"))</f>
        <v/>
      </c>
      <c r="Q226" s="21" t="str">
        <f aca="false">IF(OR('Campaign Overview'!A66="",M226=0),"",P226/M226)</f>
        <v/>
      </c>
    </row>
    <row r="227" customFormat="false" ht="15" hidden="false" customHeight="false" outlineLevel="0" collapsed="false">
      <c r="K227" s="0" t="str">
        <f aca="false">IF('Campaign Overview'!A67="","",'Campaign Overview'!A67)</f>
        <v/>
      </c>
      <c r="L227" s="0" t="str">
        <f aca="false">IF('Campaign Overview'!A67="","",'Campaign Overview'!B67)</f>
        <v/>
      </c>
      <c r="M227" s="0" t="str">
        <f aca="false">IF('Campaign Overview'!A67="","",COUNTIFS('Raw SmartLead Replies'!A:A,'Campaign Overview'!A67))</f>
        <v/>
      </c>
      <c r="N227" s="0" t="str">
        <f aca="false">IF('Campaign Overview'!A67="","",COUNTIFS('Raw SmartLead Replies'!A:A,'Campaign Overview'!A67,'Raw SmartLead Replies'!G:G,"Interested"))</f>
        <v/>
      </c>
      <c r="O227" s="0" t="str">
        <f aca="false">IF('Campaign Overview'!A67="","",COUNTIFS('Raw GHL Data'!C:C,'Campaign Overview'!A67,'Raw GHL Data'!E:E,"&lt;&gt;"))</f>
        <v/>
      </c>
      <c r="P227" s="0" t="str">
        <f aca="false">IF('Campaign Overview'!A67="","",COUNTIFS('Raw GHL Data'!C:C,'Campaign Overview'!A67,'Raw GHL Data'!H:H,"&lt;&gt;"))</f>
        <v/>
      </c>
      <c r="Q227" s="21" t="str">
        <f aca="false">IF(OR('Campaign Overview'!A67="",M227=0),"",P227/M227)</f>
        <v/>
      </c>
    </row>
    <row r="228" customFormat="false" ht="15" hidden="false" customHeight="false" outlineLevel="0" collapsed="false">
      <c r="K228" s="0" t="str">
        <f aca="false">IF('Campaign Overview'!A68="","",'Campaign Overview'!A68)</f>
        <v/>
      </c>
      <c r="L228" s="0" t="str">
        <f aca="false">IF('Campaign Overview'!A68="","",'Campaign Overview'!B68)</f>
        <v/>
      </c>
      <c r="M228" s="0" t="str">
        <f aca="false">IF('Campaign Overview'!A68="","",COUNTIFS('Raw SmartLead Replies'!A:A,'Campaign Overview'!A68))</f>
        <v/>
      </c>
      <c r="N228" s="0" t="str">
        <f aca="false">IF('Campaign Overview'!A68="","",COUNTIFS('Raw SmartLead Replies'!A:A,'Campaign Overview'!A68,'Raw SmartLead Replies'!G:G,"Interested"))</f>
        <v/>
      </c>
      <c r="O228" s="0" t="str">
        <f aca="false">IF('Campaign Overview'!A68="","",COUNTIFS('Raw GHL Data'!C:C,'Campaign Overview'!A68,'Raw GHL Data'!E:E,"&lt;&gt;"))</f>
        <v/>
      </c>
      <c r="P228" s="0" t="str">
        <f aca="false">IF('Campaign Overview'!A68="","",COUNTIFS('Raw GHL Data'!C:C,'Campaign Overview'!A68,'Raw GHL Data'!H:H,"&lt;&gt;"))</f>
        <v/>
      </c>
      <c r="Q228" s="21" t="str">
        <f aca="false">IF(OR('Campaign Overview'!A68="",M228=0),"",P228/M228)</f>
        <v/>
      </c>
    </row>
    <row r="229" customFormat="false" ht="15" hidden="false" customHeight="false" outlineLevel="0" collapsed="false">
      <c r="K229" s="0" t="str">
        <f aca="false">IF('Campaign Overview'!A69="","",'Campaign Overview'!A69)</f>
        <v/>
      </c>
      <c r="L229" s="0" t="str">
        <f aca="false">IF('Campaign Overview'!A69="","",'Campaign Overview'!B69)</f>
        <v/>
      </c>
      <c r="M229" s="0" t="str">
        <f aca="false">IF('Campaign Overview'!A69="","",COUNTIFS('Raw SmartLead Replies'!A:A,'Campaign Overview'!A69))</f>
        <v/>
      </c>
      <c r="N229" s="0" t="str">
        <f aca="false">IF('Campaign Overview'!A69="","",COUNTIFS('Raw SmartLead Replies'!A:A,'Campaign Overview'!A69,'Raw SmartLead Replies'!G:G,"Interested"))</f>
        <v/>
      </c>
      <c r="O229" s="0" t="str">
        <f aca="false">IF('Campaign Overview'!A69="","",COUNTIFS('Raw GHL Data'!C:C,'Campaign Overview'!A69,'Raw GHL Data'!E:E,"&lt;&gt;"))</f>
        <v/>
      </c>
      <c r="P229" s="0" t="str">
        <f aca="false">IF('Campaign Overview'!A69="","",COUNTIFS('Raw GHL Data'!C:C,'Campaign Overview'!A69,'Raw GHL Data'!H:H,"&lt;&gt;"))</f>
        <v/>
      </c>
      <c r="Q229" s="21" t="str">
        <f aca="false">IF(OR('Campaign Overview'!A69="",M229=0),"",P229/M229)</f>
        <v/>
      </c>
    </row>
    <row r="230" customFormat="false" ht="15" hidden="false" customHeight="false" outlineLevel="0" collapsed="false">
      <c r="K230" s="0" t="str">
        <f aca="false">IF('Campaign Overview'!A70="","",'Campaign Overview'!A70)</f>
        <v/>
      </c>
      <c r="L230" s="0" t="str">
        <f aca="false">IF('Campaign Overview'!A70="","",'Campaign Overview'!B70)</f>
        <v/>
      </c>
      <c r="M230" s="0" t="str">
        <f aca="false">IF('Campaign Overview'!A70="","",COUNTIFS('Raw SmartLead Replies'!A:A,'Campaign Overview'!A70))</f>
        <v/>
      </c>
      <c r="N230" s="0" t="str">
        <f aca="false">IF('Campaign Overview'!A70="","",COUNTIFS('Raw SmartLead Replies'!A:A,'Campaign Overview'!A70,'Raw SmartLead Replies'!G:G,"Interested"))</f>
        <v/>
      </c>
      <c r="O230" s="0" t="str">
        <f aca="false">IF('Campaign Overview'!A70="","",COUNTIFS('Raw GHL Data'!C:C,'Campaign Overview'!A70,'Raw GHL Data'!E:E,"&lt;&gt;"))</f>
        <v/>
      </c>
      <c r="P230" s="0" t="str">
        <f aca="false">IF('Campaign Overview'!A70="","",COUNTIFS('Raw GHL Data'!C:C,'Campaign Overview'!A70,'Raw GHL Data'!H:H,"&lt;&gt;"))</f>
        <v/>
      </c>
      <c r="Q230" s="21" t="str">
        <f aca="false">IF(OR('Campaign Overview'!A70="",M230=0),"",P230/M230)</f>
        <v/>
      </c>
    </row>
    <row r="231" customFormat="false" ht="15" hidden="false" customHeight="false" outlineLevel="0" collapsed="false">
      <c r="K231" s="0" t="str">
        <f aca="false">IF('Campaign Overview'!A71="","",'Campaign Overview'!A71)</f>
        <v/>
      </c>
      <c r="L231" s="0" t="str">
        <f aca="false">IF('Campaign Overview'!A71="","",'Campaign Overview'!B71)</f>
        <v/>
      </c>
      <c r="M231" s="0" t="str">
        <f aca="false">IF('Campaign Overview'!A71="","",COUNTIFS('Raw SmartLead Replies'!A:A,'Campaign Overview'!A71))</f>
        <v/>
      </c>
      <c r="N231" s="0" t="str">
        <f aca="false">IF('Campaign Overview'!A71="","",COUNTIFS('Raw SmartLead Replies'!A:A,'Campaign Overview'!A71,'Raw SmartLead Replies'!G:G,"Interested"))</f>
        <v/>
      </c>
      <c r="O231" s="0" t="str">
        <f aca="false">IF('Campaign Overview'!A71="","",COUNTIFS('Raw GHL Data'!C:C,'Campaign Overview'!A71,'Raw GHL Data'!E:E,"&lt;&gt;"))</f>
        <v/>
      </c>
      <c r="P231" s="0" t="str">
        <f aca="false">IF('Campaign Overview'!A71="","",COUNTIFS('Raw GHL Data'!C:C,'Campaign Overview'!A71,'Raw GHL Data'!H:H,"&lt;&gt;"))</f>
        <v/>
      </c>
      <c r="Q231" s="21" t="str">
        <f aca="false">IF(OR('Campaign Overview'!A71="",M231=0),"",P231/M231)</f>
        <v/>
      </c>
    </row>
    <row r="232" customFormat="false" ht="15" hidden="false" customHeight="false" outlineLevel="0" collapsed="false">
      <c r="K232" s="0" t="str">
        <f aca="false">IF('Campaign Overview'!A72="","",'Campaign Overview'!A72)</f>
        <v/>
      </c>
      <c r="L232" s="0" t="str">
        <f aca="false">IF('Campaign Overview'!A72="","",'Campaign Overview'!B72)</f>
        <v/>
      </c>
      <c r="M232" s="0" t="str">
        <f aca="false">IF('Campaign Overview'!A72="","",COUNTIFS('Raw SmartLead Replies'!A:A,'Campaign Overview'!A72))</f>
        <v/>
      </c>
      <c r="N232" s="0" t="str">
        <f aca="false">IF('Campaign Overview'!A72="","",COUNTIFS('Raw SmartLead Replies'!A:A,'Campaign Overview'!A72,'Raw SmartLead Replies'!G:G,"Interested"))</f>
        <v/>
      </c>
      <c r="O232" s="0" t="str">
        <f aca="false">IF('Campaign Overview'!A72="","",COUNTIFS('Raw GHL Data'!C:C,'Campaign Overview'!A72,'Raw GHL Data'!E:E,"&lt;&gt;"))</f>
        <v/>
      </c>
      <c r="P232" s="0" t="str">
        <f aca="false">IF('Campaign Overview'!A72="","",COUNTIFS('Raw GHL Data'!C:C,'Campaign Overview'!A72,'Raw GHL Data'!H:H,"&lt;&gt;"))</f>
        <v/>
      </c>
      <c r="Q232" s="21" t="str">
        <f aca="false">IF(OR('Campaign Overview'!A72="",M232=0),"",P232/M232)</f>
        <v/>
      </c>
    </row>
    <row r="233" customFormat="false" ht="15" hidden="false" customHeight="false" outlineLevel="0" collapsed="false">
      <c r="K233" s="0" t="str">
        <f aca="false">IF('Campaign Overview'!A73="","",'Campaign Overview'!A73)</f>
        <v/>
      </c>
      <c r="L233" s="0" t="str">
        <f aca="false">IF('Campaign Overview'!A73="","",'Campaign Overview'!B73)</f>
        <v/>
      </c>
      <c r="M233" s="0" t="str">
        <f aca="false">IF('Campaign Overview'!A73="","",COUNTIFS('Raw SmartLead Replies'!A:A,'Campaign Overview'!A73))</f>
        <v/>
      </c>
      <c r="N233" s="0" t="str">
        <f aca="false">IF('Campaign Overview'!A73="","",COUNTIFS('Raw SmartLead Replies'!A:A,'Campaign Overview'!A73,'Raw SmartLead Replies'!G:G,"Interested"))</f>
        <v/>
      </c>
      <c r="O233" s="0" t="str">
        <f aca="false">IF('Campaign Overview'!A73="","",COUNTIFS('Raw GHL Data'!C:C,'Campaign Overview'!A73,'Raw GHL Data'!E:E,"&lt;&gt;"))</f>
        <v/>
      </c>
      <c r="P233" s="0" t="str">
        <f aca="false">IF('Campaign Overview'!A73="","",COUNTIFS('Raw GHL Data'!C:C,'Campaign Overview'!A73,'Raw GHL Data'!H:H,"&lt;&gt;"))</f>
        <v/>
      </c>
      <c r="Q233" s="21" t="str">
        <f aca="false">IF(OR('Campaign Overview'!A73="",M233=0),"",P233/M233)</f>
        <v/>
      </c>
    </row>
    <row r="234" customFormat="false" ht="15" hidden="false" customHeight="false" outlineLevel="0" collapsed="false">
      <c r="K234" s="0" t="str">
        <f aca="false">IF('Campaign Overview'!A74="","",'Campaign Overview'!A74)</f>
        <v/>
      </c>
      <c r="L234" s="0" t="str">
        <f aca="false">IF('Campaign Overview'!A74="","",'Campaign Overview'!B74)</f>
        <v/>
      </c>
      <c r="M234" s="0" t="str">
        <f aca="false">IF('Campaign Overview'!A74="","",COUNTIFS('Raw SmartLead Replies'!A:A,'Campaign Overview'!A74))</f>
        <v/>
      </c>
      <c r="N234" s="0" t="str">
        <f aca="false">IF('Campaign Overview'!A74="","",COUNTIFS('Raw SmartLead Replies'!A:A,'Campaign Overview'!A74,'Raw SmartLead Replies'!G:G,"Interested"))</f>
        <v/>
      </c>
      <c r="O234" s="0" t="str">
        <f aca="false">IF('Campaign Overview'!A74="","",COUNTIFS('Raw GHL Data'!C:C,'Campaign Overview'!A74,'Raw GHL Data'!E:E,"&lt;&gt;"))</f>
        <v/>
      </c>
      <c r="P234" s="0" t="str">
        <f aca="false">IF('Campaign Overview'!A74="","",COUNTIFS('Raw GHL Data'!C:C,'Campaign Overview'!A74,'Raw GHL Data'!H:H,"&lt;&gt;"))</f>
        <v/>
      </c>
      <c r="Q234" s="21" t="str">
        <f aca="false">IF(OR('Campaign Overview'!A74="",M234=0),"",P234/M234)</f>
        <v/>
      </c>
    </row>
    <row r="235" customFormat="false" ht="15" hidden="false" customHeight="false" outlineLevel="0" collapsed="false">
      <c r="K235" s="0" t="str">
        <f aca="false">IF('Campaign Overview'!A75="","",'Campaign Overview'!A75)</f>
        <v/>
      </c>
      <c r="L235" s="0" t="str">
        <f aca="false">IF('Campaign Overview'!A75="","",'Campaign Overview'!B75)</f>
        <v/>
      </c>
      <c r="M235" s="0" t="str">
        <f aca="false">IF('Campaign Overview'!A75="","",COUNTIFS('Raw SmartLead Replies'!A:A,'Campaign Overview'!A75))</f>
        <v/>
      </c>
      <c r="N235" s="0" t="str">
        <f aca="false">IF('Campaign Overview'!A75="","",COUNTIFS('Raw SmartLead Replies'!A:A,'Campaign Overview'!A75,'Raw SmartLead Replies'!G:G,"Interested"))</f>
        <v/>
      </c>
      <c r="O235" s="0" t="str">
        <f aca="false">IF('Campaign Overview'!A75="","",COUNTIFS('Raw GHL Data'!C:C,'Campaign Overview'!A75,'Raw GHL Data'!E:E,"&lt;&gt;"))</f>
        <v/>
      </c>
      <c r="P235" s="0" t="str">
        <f aca="false">IF('Campaign Overview'!A75="","",COUNTIFS('Raw GHL Data'!C:C,'Campaign Overview'!A75,'Raw GHL Data'!H:H,"&lt;&gt;"))</f>
        <v/>
      </c>
      <c r="Q235" s="21" t="str">
        <f aca="false">IF(OR('Campaign Overview'!A75="",M235=0),"",P235/M235)</f>
        <v/>
      </c>
    </row>
    <row r="236" customFormat="false" ht="15" hidden="false" customHeight="false" outlineLevel="0" collapsed="false">
      <c r="K236" s="0" t="str">
        <f aca="false">IF('Campaign Overview'!A76="","",'Campaign Overview'!A76)</f>
        <v/>
      </c>
      <c r="L236" s="0" t="str">
        <f aca="false">IF('Campaign Overview'!A76="","",'Campaign Overview'!B76)</f>
        <v/>
      </c>
      <c r="M236" s="0" t="str">
        <f aca="false">IF('Campaign Overview'!A76="","",COUNTIFS('Raw SmartLead Replies'!A:A,'Campaign Overview'!A76))</f>
        <v/>
      </c>
      <c r="N236" s="0" t="str">
        <f aca="false">IF('Campaign Overview'!A76="","",COUNTIFS('Raw SmartLead Replies'!A:A,'Campaign Overview'!A76,'Raw SmartLead Replies'!G:G,"Interested"))</f>
        <v/>
      </c>
      <c r="O236" s="0" t="str">
        <f aca="false">IF('Campaign Overview'!A76="","",COUNTIFS('Raw GHL Data'!C:C,'Campaign Overview'!A76,'Raw GHL Data'!E:E,"&lt;&gt;"))</f>
        <v/>
      </c>
      <c r="P236" s="0" t="str">
        <f aca="false">IF('Campaign Overview'!A76="","",COUNTIFS('Raw GHL Data'!C:C,'Campaign Overview'!A76,'Raw GHL Data'!H:H,"&lt;&gt;"))</f>
        <v/>
      </c>
      <c r="Q236" s="21" t="str">
        <f aca="false">IF(OR('Campaign Overview'!A76="",M236=0),"",P236/M236)</f>
        <v/>
      </c>
    </row>
    <row r="237" customFormat="false" ht="15" hidden="false" customHeight="false" outlineLevel="0" collapsed="false">
      <c r="K237" s="0" t="str">
        <f aca="false">IF('Campaign Overview'!A77="","",'Campaign Overview'!A77)</f>
        <v/>
      </c>
      <c r="L237" s="0" t="str">
        <f aca="false">IF('Campaign Overview'!A77="","",'Campaign Overview'!B77)</f>
        <v/>
      </c>
      <c r="M237" s="0" t="str">
        <f aca="false">IF('Campaign Overview'!A77="","",COUNTIFS('Raw SmartLead Replies'!A:A,'Campaign Overview'!A77))</f>
        <v/>
      </c>
      <c r="N237" s="0" t="str">
        <f aca="false">IF('Campaign Overview'!A77="","",COUNTIFS('Raw SmartLead Replies'!A:A,'Campaign Overview'!A77,'Raw SmartLead Replies'!G:G,"Interested"))</f>
        <v/>
      </c>
      <c r="O237" s="0" t="str">
        <f aca="false">IF('Campaign Overview'!A77="","",COUNTIFS('Raw GHL Data'!C:C,'Campaign Overview'!A77,'Raw GHL Data'!E:E,"&lt;&gt;"))</f>
        <v/>
      </c>
      <c r="P237" s="0" t="str">
        <f aca="false">IF('Campaign Overview'!A77="","",COUNTIFS('Raw GHL Data'!C:C,'Campaign Overview'!A77,'Raw GHL Data'!H:H,"&lt;&gt;"))</f>
        <v/>
      </c>
      <c r="Q237" s="21" t="str">
        <f aca="false">IF(OR('Campaign Overview'!A77="",M237=0),"",P237/M237)</f>
        <v/>
      </c>
    </row>
    <row r="238" customFormat="false" ht="15" hidden="false" customHeight="false" outlineLevel="0" collapsed="false">
      <c r="K238" s="0" t="str">
        <f aca="false">IF('Campaign Overview'!A78="","",'Campaign Overview'!A78)</f>
        <v/>
      </c>
      <c r="L238" s="0" t="str">
        <f aca="false">IF('Campaign Overview'!A78="","",'Campaign Overview'!B78)</f>
        <v/>
      </c>
      <c r="M238" s="0" t="str">
        <f aca="false">IF('Campaign Overview'!A78="","",COUNTIFS('Raw SmartLead Replies'!A:A,'Campaign Overview'!A78))</f>
        <v/>
      </c>
      <c r="N238" s="0" t="str">
        <f aca="false">IF('Campaign Overview'!A78="","",COUNTIFS('Raw SmartLead Replies'!A:A,'Campaign Overview'!A78,'Raw SmartLead Replies'!G:G,"Interested"))</f>
        <v/>
      </c>
      <c r="O238" s="0" t="str">
        <f aca="false">IF('Campaign Overview'!A78="","",COUNTIFS('Raw GHL Data'!C:C,'Campaign Overview'!A78,'Raw GHL Data'!E:E,"&lt;&gt;"))</f>
        <v/>
      </c>
      <c r="P238" s="0" t="str">
        <f aca="false">IF('Campaign Overview'!A78="","",COUNTIFS('Raw GHL Data'!C:C,'Campaign Overview'!A78,'Raw GHL Data'!H:H,"&lt;&gt;"))</f>
        <v/>
      </c>
      <c r="Q238" s="21" t="str">
        <f aca="false">IF(OR('Campaign Overview'!A78="",M238=0),"",P238/M238)</f>
        <v/>
      </c>
    </row>
    <row r="239" customFormat="false" ht="15" hidden="false" customHeight="false" outlineLevel="0" collapsed="false">
      <c r="K239" s="0" t="str">
        <f aca="false">IF('Campaign Overview'!A79="","",'Campaign Overview'!A79)</f>
        <v/>
      </c>
      <c r="L239" s="0" t="str">
        <f aca="false">IF('Campaign Overview'!A79="","",'Campaign Overview'!B79)</f>
        <v/>
      </c>
      <c r="M239" s="0" t="str">
        <f aca="false">IF('Campaign Overview'!A79="","",COUNTIFS('Raw SmartLead Replies'!A:A,'Campaign Overview'!A79))</f>
        <v/>
      </c>
      <c r="N239" s="0" t="str">
        <f aca="false">IF('Campaign Overview'!A79="","",COUNTIFS('Raw SmartLead Replies'!A:A,'Campaign Overview'!A79,'Raw SmartLead Replies'!G:G,"Interested"))</f>
        <v/>
      </c>
      <c r="O239" s="0" t="str">
        <f aca="false">IF('Campaign Overview'!A79="","",COUNTIFS('Raw GHL Data'!C:C,'Campaign Overview'!A79,'Raw GHL Data'!E:E,"&lt;&gt;"))</f>
        <v/>
      </c>
      <c r="P239" s="0" t="str">
        <f aca="false">IF('Campaign Overview'!A79="","",COUNTIFS('Raw GHL Data'!C:C,'Campaign Overview'!A79,'Raw GHL Data'!H:H,"&lt;&gt;"))</f>
        <v/>
      </c>
      <c r="Q239" s="21" t="str">
        <f aca="false">IF(OR('Campaign Overview'!A79="",M239=0),"",P239/M239)</f>
        <v/>
      </c>
    </row>
    <row r="240" customFormat="false" ht="15" hidden="false" customHeight="false" outlineLevel="0" collapsed="false">
      <c r="K240" s="0" t="str">
        <f aca="false">IF('Campaign Overview'!A80="","",'Campaign Overview'!A80)</f>
        <v/>
      </c>
      <c r="L240" s="0" t="str">
        <f aca="false">IF('Campaign Overview'!A80="","",'Campaign Overview'!B80)</f>
        <v/>
      </c>
      <c r="M240" s="0" t="str">
        <f aca="false">IF('Campaign Overview'!A80="","",COUNTIFS('Raw SmartLead Replies'!A:A,'Campaign Overview'!A80))</f>
        <v/>
      </c>
      <c r="N240" s="0" t="str">
        <f aca="false">IF('Campaign Overview'!A80="","",COUNTIFS('Raw SmartLead Replies'!A:A,'Campaign Overview'!A80,'Raw SmartLead Replies'!G:G,"Interested"))</f>
        <v/>
      </c>
      <c r="O240" s="0" t="str">
        <f aca="false">IF('Campaign Overview'!A80="","",COUNTIFS('Raw GHL Data'!C:C,'Campaign Overview'!A80,'Raw GHL Data'!E:E,"&lt;&gt;"))</f>
        <v/>
      </c>
      <c r="P240" s="0" t="str">
        <f aca="false">IF('Campaign Overview'!A80="","",COUNTIFS('Raw GHL Data'!C:C,'Campaign Overview'!A80,'Raw GHL Data'!H:H,"&lt;&gt;"))</f>
        <v/>
      </c>
      <c r="Q240" s="21" t="str">
        <f aca="false">IF(OR('Campaign Overview'!A80="",M240=0),"",P240/M240)</f>
        <v/>
      </c>
    </row>
    <row r="241" customFormat="false" ht="15" hidden="false" customHeight="false" outlineLevel="0" collapsed="false">
      <c r="K241" s="0" t="str">
        <f aca="false">IF('Campaign Overview'!A81="","",'Campaign Overview'!A81)</f>
        <v/>
      </c>
      <c r="L241" s="0" t="str">
        <f aca="false">IF('Campaign Overview'!A81="","",'Campaign Overview'!B81)</f>
        <v/>
      </c>
      <c r="M241" s="0" t="str">
        <f aca="false">IF('Campaign Overview'!A81="","",COUNTIFS('Raw SmartLead Replies'!A:A,'Campaign Overview'!A81))</f>
        <v/>
      </c>
      <c r="N241" s="0" t="str">
        <f aca="false">IF('Campaign Overview'!A81="","",COUNTIFS('Raw SmartLead Replies'!A:A,'Campaign Overview'!A81,'Raw SmartLead Replies'!G:G,"Interested"))</f>
        <v/>
      </c>
      <c r="O241" s="0" t="str">
        <f aca="false">IF('Campaign Overview'!A81="","",COUNTIFS('Raw GHL Data'!C:C,'Campaign Overview'!A81,'Raw GHL Data'!E:E,"&lt;&gt;"))</f>
        <v/>
      </c>
      <c r="P241" s="0" t="str">
        <f aca="false">IF('Campaign Overview'!A81="","",COUNTIFS('Raw GHL Data'!C:C,'Campaign Overview'!A81,'Raw GHL Data'!H:H,"&lt;&gt;"))</f>
        <v/>
      </c>
      <c r="Q241" s="21" t="str">
        <f aca="false">IF(OR('Campaign Overview'!A81="",M241=0),"",P241/M241)</f>
        <v/>
      </c>
    </row>
    <row r="242" customFormat="false" ht="15" hidden="false" customHeight="false" outlineLevel="0" collapsed="false">
      <c r="K242" s="0" t="str">
        <f aca="false">IF('Campaign Overview'!A82="","",'Campaign Overview'!A82)</f>
        <v/>
      </c>
      <c r="L242" s="0" t="str">
        <f aca="false">IF('Campaign Overview'!A82="","",'Campaign Overview'!B82)</f>
        <v/>
      </c>
      <c r="M242" s="0" t="str">
        <f aca="false">IF('Campaign Overview'!A82="","",COUNTIFS('Raw SmartLead Replies'!A:A,'Campaign Overview'!A82))</f>
        <v/>
      </c>
      <c r="N242" s="0" t="str">
        <f aca="false">IF('Campaign Overview'!A82="","",COUNTIFS('Raw SmartLead Replies'!A:A,'Campaign Overview'!A82,'Raw SmartLead Replies'!G:G,"Interested"))</f>
        <v/>
      </c>
      <c r="O242" s="0" t="str">
        <f aca="false">IF('Campaign Overview'!A82="","",COUNTIFS('Raw GHL Data'!C:C,'Campaign Overview'!A82,'Raw GHL Data'!E:E,"&lt;&gt;"))</f>
        <v/>
      </c>
      <c r="P242" s="0" t="str">
        <f aca="false">IF('Campaign Overview'!A82="","",COUNTIFS('Raw GHL Data'!C:C,'Campaign Overview'!A82,'Raw GHL Data'!H:H,"&lt;&gt;"))</f>
        <v/>
      </c>
      <c r="Q242" s="21" t="str">
        <f aca="false">IF(OR('Campaign Overview'!A82="",M242=0),"",P242/M242)</f>
        <v/>
      </c>
    </row>
    <row r="243" customFormat="false" ht="15" hidden="false" customHeight="false" outlineLevel="0" collapsed="false">
      <c r="K243" s="0" t="str">
        <f aca="false">IF('Campaign Overview'!A83="","",'Campaign Overview'!A83)</f>
        <v/>
      </c>
      <c r="L243" s="0" t="str">
        <f aca="false">IF('Campaign Overview'!A83="","",'Campaign Overview'!B83)</f>
        <v/>
      </c>
      <c r="M243" s="0" t="str">
        <f aca="false">IF('Campaign Overview'!A83="","",COUNTIFS('Raw SmartLead Replies'!A:A,'Campaign Overview'!A83))</f>
        <v/>
      </c>
      <c r="N243" s="0" t="str">
        <f aca="false">IF('Campaign Overview'!A83="","",COUNTIFS('Raw SmartLead Replies'!A:A,'Campaign Overview'!A83,'Raw SmartLead Replies'!G:G,"Interested"))</f>
        <v/>
      </c>
      <c r="O243" s="0" t="str">
        <f aca="false">IF('Campaign Overview'!A83="","",COUNTIFS('Raw GHL Data'!C:C,'Campaign Overview'!A83,'Raw GHL Data'!E:E,"&lt;&gt;"))</f>
        <v/>
      </c>
      <c r="P243" s="0" t="str">
        <f aca="false">IF('Campaign Overview'!A83="","",COUNTIFS('Raw GHL Data'!C:C,'Campaign Overview'!A83,'Raw GHL Data'!H:H,"&lt;&gt;"))</f>
        <v/>
      </c>
      <c r="Q243" s="21" t="str">
        <f aca="false">IF(OR('Campaign Overview'!A83="",M243=0),"",P243/M243)</f>
        <v/>
      </c>
    </row>
    <row r="244" customFormat="false" ht="15" hidden="false" customHeight="false" outlineLevel="0" collapsed="false">
      <c r="K244" s="0" t="str">
        <f aca="false">IF('Campaign Overview'!A84="","",'Campaign Overview'!A84)</f>
        <v/>
      </c>
      <c r="L244" s="0" t="str">
        <f aca="false">IF('Campaign Overview'!A84="","",'Campaign Overview'!B84)</f>
        <v/>
      </c>
      <c r="M244" s="0" t="str">
        <f aca="false">IF('Campaign Overview'!A84="","",COUNTIFS('Raw SmartLead Replies'!A:A,'Campaign Overview'!A84))</f>
        <v/>
      </c>
      <c r="N244" s="0" t="str">
        <f aca="false">IF('Campaign Overview'!A84="","",COUNTIFS('Raw SmartLead Replies'!A:A,'Campaign Overview'!A84,'Raw SmartLead Replies'!G:G,"Interested"))</f>
        <v/>
      </c>
      <c r="O244" s="0" t="str">
        <f aca="false">IF('Campaign Overview'!A84="","",COUNTIFS('Raw GHL Data'!C:C,'Campaign Overview'!A84,'Raw GHL Data'!E:E,"&lt;&gt;"))</f>
        <v/>
      </c>
      <c r="P244" s="0" t="str">
        <f aca="false">IF('Campaign Overview'!A84="","",COUNTIFS('Raw GHL Data'!C:C,'Campaign Overview'!A84,'Raw GHL Data'!H:H,"&lt;&gt;"))</f>
        <v/>
      </c>
      <c r="Q244" s="21" t="str">
        <f aca="false">IF(OR('Campaign Overview'!A84="",M244=0),"",P244/M244)</f>
        <v/>
      </c>
    </row>
    <row r="245" customFormat="false" ht="15" hidden="false" customHeight="false" outlineLevel="0" collapsed="false">
      <c r="K245" s="0" t="str">
        <f aca="false">IF('Campaign Overview'!A85="","",'Campaign Overview'!A85)</f>
        <v/>
      </c>
      <c r="L245" s="0" t="str">
        <f aca="false">IF('Campaign Overview'!A85="","",'Campaign Overview'!B85)</f>
        <v/>
      </c>
      <c r="M245" s="0" t="str">
        <f aca="false">IF('Campaign Overview'!A85="","",COUNTIFS('Raw SmartLead Replies'!A:A,'Campaign Overview'!A85))</f>
        <v/>
      </c>
      <c r="N245" s="0" t="str">
        <f aca="false">IF('Campaign Overview'!A85="","",COUNTIFS('Raw SmartLead Replies'!A:A,'Campaign Overview'!A85,'Raw SmartLead Replies'!G:G,"Interested"))</f>
        <v/>
      </c>
      <c r="O245" s="0" t="str">
        <f aca="false">IF('Campaign Overview'!A85="","",COUNTIFS('Raw GHL Data'!C:C,'Campaign Overview'!A85,'Raw GHL Data'!E:E,"&lt;&gt;"))</f>
        <v/>
      </c>
      <c r="P245" s="0" t="str">
        <f aca="false">IF('Campaign Overview'!A85="","",COUNTIFS('Raw GHL Data'!C:C,'Campaign Overview'!A85,'Raw GHL Data'!H:H,"&lt;&gt;"))</f>
        <v/>
      </c>
      <c r="Q245" s="21" t="str">
        <f aca="false">IF(OR('Campaign Overview'!A85="",M245=0),"",P245/M245)</f>
        <v/>
      </c>
    </row>
    <row r="246" customFormat="false" ht="15" hidden="false" customHeight="false" outlineLevel="0" collapsed="false">
      <c r="K246" s="0" t="str">
        <f aca="false">IF('Campaign Overview'!A86="","",'Campaign Overview'!A86)</f>
        <v/>
      </c>
      <c r="L246" s="0" t="str">
        <f aca="false">IF('Campaign Overview'!A86="","",'Campaign Overview'!B86)</f>
        <v/>
      </c>
      <c r="M246" s="0" t="str">
        <f aca="false">IF('Campaign Overview'!A86="","",COUNTIFS('Raw SmartLead Replies'!A:A,'Campaign Overview'!A86))</f>
        <v/>
      </c>
      <c r="N246" s="0" t="str">
        <f aca="false">IF('Campaign Overview'!A86="","",COUNTIFS('Raw SmartLead Replies'!A:A,'Campaign Overview'!A86,'Raw SmartLead Replies'!G:G,"Interested"))</f>
        <v/>
      </c>
      <c r="O246" s="0" t="str">
        <f aca="false">IF('Campaign Overview'!A86="","",COUNTIFS('Raw GHL Data'!C:C,'Campaign Overview'!A86,'Raw GHL Data'!E:E,"&lt;&gt;"))</f>
        <v/>
      </c>
      <c r="P246" s="0" t="str">
        <f aca="false">IF('Campaign Overview'!A86="","",COUNTIFS('Raw GHL Data'!C:C,'Campaign Overview'!A86,'Raw GHL Data'!H:H,"&lt;&gt;"))</f>
        <v/>
      </c>
      <c r="Q246" s="21" t="str">
        <f aca="false">IF(OR('Campaign Overview'!A86="",M246=0),"",P246/M246)</f>
        <v/>
      </c>
    </row>
    <row r="247" customFormat="false" ht="15" hidden="false" customHeight="false" outlineLevel="0" collapsed="false">
      <c r="K247" s="0" t="str">
        <f aca="false">IF('Campaign Overview'!A87="","",'Campaign Overview'!A87)</f>
        <v/>
      </c>
      <c r="L247" s="0" t="str">
        <f aca="false">IF('Campaign Overview'!A87="","",'Campaign Overview'!B87)</f>
        <v/>
      </c>
      <c r="M247" s="0" t="str">
        <f aca="false">IF('Campaign Overview'!A87="","",COUNTIFS('Raw SmartLead Replies'!A:A,'Campaign Overview'!A87))</f>
        <v/>
      </c>
      <c r="N247" s="0" t="str">
        <f aca="false">IF('Campaign Overview'!A87="","",COUNTIFS('Raw SmartLead Replies'!A:A,'Campaign Overview'!A87,'Raw SmartLead Replies'!G:G,"Interested"))</f>
        <v/>
      </c>
      <c r="O247" s="0" t="str">
        <f aca="false">IF('Campaign Overview'!A87="","",COUNTIFS('Raw GHL Data'!C:C,'Campaign Overview'!A87,'Raw GHL Data'!E:E,"&lt;&gt;"))</f>
        <v/>
      </c>
      <c r="P247" s="0" t="str">
        <f aca="false">IF('Campaign Overview'!A87="","",COUNTIFS('Raw GHL Data'!C:C,'Campaign Overview'!A87,'Raw GHL Data'!H:H,"&lt;&gt;"))</f>
        <v/>
      </c>
      <c r="Q247" s="21" t="str">
        <f aca="false">IF(OR('Campaign Overview'!A87="",M247=0),"",P247/M247)</f>
        <v/>
      </c>
    </row>
    <row r="248" customFormat="false" ht="15" hidden="false" customHeight="false" outlineLevel="0" collapsed="false">
      <c r="K248" s="0" t="str">
        <f aca="false">IF('Campaign Overview'!A88="","",'Campaign Overview'!A88)</f>
        <v/>
      </c>
      <c r="L248" s="0" t="str">
        <f aca="false">IF('Campaign Overview'!A88="","",'Campaign Overview'!B88)</f>
        <v/>
      </c>
      <c r="M248" s="0" t="str">
        <f aca="false">IF('Campaign Overview'!A88="","",COUNTIFS('Raw SmartLead Replies'!A:A,'Campaign Overview'!A88))</f>
        <v/>
      </c>
      <c r="N248" s="0" t="str">
        <f aca="false">IF('Campaign Overview'!A88="","",COUNTIFS('Raw SmartLead Replies'!A:A,'Campaign Overview'!A88,'Raw SmartLead Replies'!G:G,"Interested"))</f>
        <v/>
      </c>
      <c r="O248" s="0" t="str">
        <f aca="false">IF('Campaign Overview'!A88="","",COUNTIFS('Raw GHL Data'!C:C,'Campaign Overview'!A88,'Raw GHL Data'!E:E,"&lt;&gt;"))</f>
        <v/>
      </c>
      <c r="P248" s="0" t="str">
        <f aca="false">IF('Campaign Overview'!A88="","",COUNTIFS('Raw GHL Data'!C:C,'Campaign Overview'!A88,'Raw GHL Data'!H:H,"&lt;&gt;"))</f>
        <v/>
      </c>
      <c r="Q248" s="21" t="str">
        <f aca="false">IF(OR('Campaign Overview'!A88="",M248=0),"",P248/M248)</f>
        <v/>
      </c>
    </row>
    <row r="249" customFormat="false" ht="15" hidden="false" customHeight="false" outlineLevel="0" collapsed="false">
      <c r="K249" s="0" t="str">
        <f aca="false">IF('Campaign Overview'!A89="","",'Campaign Overview'!A89)</f>
        <v/>
      </c>
      <c r="L249" s="0" t="str">
        <f aca="false">IF('Campaign Overview'!A89="","",'Campaign Overview'!B89)</f>
        <v/>
      </c>
      <c r="M249" s="0" t="str">
        <f aca="false">IF('Campaign Overview'!A89="","",COUNTIFS('Raw SmartLead Replies'!A:A,'Campaign Overview'!A89))</f>
        <v/>
      </c>
      <c r="N249" s="0" t="str">
        <f aca="false">IF('Campaign Overview'!A89="","",COUNTIFS('Raw SmartLead Replies'!A:A,'Campaign Overview'!A89,'Raw SmartLead Replies'!G:G,"Interested"))</f>
        <v/>
      </c>
      <c r="O249" s="0" t="str">
        <f aca="false">IF('Campaign Overview'!A89="","",COUNTIFS('Raw GHL Data'!C:C,'Campaign Overview'!A89,'Raw GHL Data'!E:E,"&lt;&gt;"))</f>
        <v/>
      </c>
      <c r="P249" s="0" t="str">
        <f aca="false">IF('Campaign Overview'!A89="","",COUNTIFS('Raw GHL Data'!C:C,'Campaign Overview'!A89,'Raw GHL Data'!H:H,"&lt;&gt;"))</f>
        <v/>
      </c>
      <c r="Q249" s="21" t="str">
        <f aca="false">IF(OR('Campaign Overview'!A89="",M249=0),"",P249/M249)</f>
        <v/>
      </c>
    </row>
    <row r="250" customFormat="false" ht="15" hidden="false" customHeight="false" outlineLevel="0" collapsed="false">
      <c r="K250" s="0" t="str">
        <f aca="false">IF('Campaign Overview'!A90="","",'Campaign Overview'!A90)</f>
        <v/>
      </c>
      <c r="L250" s="0" t="str">
        <f aca="false">IF('Campaign Overview'!A90="","",'Campaign Overview'!B90)</f>
        <v/>
      </c>
      <c r="M250" s="0" t="str">
        <f aca="false">IF('Campaign Overview'!A90="","",COUNTIFS('Raw SmartLead Replies'!A:A,'Campaign Overview'!A90))</f>
        <v/>
      </c>
      <c r="N250" s="0" t="str">
        <f aca="false">IF('Campaign Overview'!A90="","",COUNTIFS('Raw SmartLead Replies'!A:A,'Campaign Overview'!A90,'Raw SmartLead Replies'!G:G,"Interested"))</f>
        <v/>
      </c>
      <c r="O250" s="0" t="str">
        <f aca="false">IF('Campaign Overview'!A90="","",COUNTIFS('Raw GHL Data'!C:C,'Campaign Overview'!A90,'Raw GHL Data'!E:E,"&lt;&gt;"))</f>
        <v/>
      </c>
      <c r="P250" s="0" t="str">
        <f aca="false">IF('Campaign Overview'!A90="","",COUNTIFS('Raw GHL Data'!C:C,'Campaign Overview'!A90,'Raw GHL Data'!H:H,"&lt;&gt;"))</f>
        <v/>
      </c>
      <c r="Q250" s="21" t="str">
        <f aca="false">IF(OR('Campaign Overview'!A90="",M250=0),"",P250/M250)</f>
        <v/>
      </c>
    </row>
    <row r="251" customFormat="false" ht="15" hidden="false" customHeight="false" outlineLevel="0" collapsed="false">
      <c r="K251" s="0" t="str">
        <f aca="false">IF('Campaign Overview'!A91="","",'Campaign Overview'!A91)</f>
        <v/>
      </c>
      <c r="L251" s="0" t="str">
        <f aca="false">IF('Campaign Overview'!A91="","",'Campaign Overview'!B91)</f>
        <v/>
      </c>
      <c r="M251" s="0" t="str">
        <f aca="false">IF('Campaign Overview'!A91="","",COUNTIFS('Raw SmartLead Replies'!A:A,'Campaign Overview'!A91))</f>
        <v/>
      </c>
      <c r="N251" s="0" t="str">
        <f aca="false">IF('Campaign Overview'!A91="","",COUNTIFS('Raw SmartLead Replies'!A:A,'Campaign Overview'!A91,'Raw SmartLead Replies'!G:G,"Interested"))</f>
        <v/>
      </c>
      <c r="O251" s="0" t="str">
        <f aca="false">IF('Campaign Overview'!A91="","",COUNTIFS('Raw GHL Data'!C:C,'Campaign Overview'!A91,'Raw GHL Data'!E:E,"&lt;&gt;"))</f>
        <v/>
      </c>
      <c r="P251" s="0" t="str">
        <f aca="false">IF('Campaign Overview'!A91="","",COUNTIFS('Raw GHL Data'!C:C,'Campaign Overview'!A91,'Raw GHL Data'!H:H,"&lt;&gt;"))</f>
        <v/>
      </c>
      <c r="Q251" s="21" t="str">
        <f aca="false">IF(OR('Campaign Overview'!A91="",M251=0),"",P251/M251)</f>
        <v/>
      </c>
    </row>
    <row r="252" customFormat="false" ht="15" hidden="false" customHeight="false" outlineLevel="0" collapsed="false">
      <c r="K252" s="0" t="str">
        <f aca="false">IF('Campaign Overview'!A92="","",'Campaign Overview'!A92)</f>
        <v/>
      </c>
      <c r="L252" s="0" t="str">
        <f aca="false">IF('Campaign Overview'!A92="","",'Campaign Overview'!B92)</f>
        <v/>
      </c>
      <c r="M252" s="0" t="str">
        <f aca="false">IF('Campaign Overview'!A92="","",COUNTIFS('Raw SmartLead Replies'!A:A,'Campaign Overview'!A92))</f>
        <v/>
      </c>
      <c r="N252" s="0" t="str">
        <f aca="false">IF('Campaign Overview'!A92="","",COUNTIFS('Raw SmartLead Replies'!A:A,'Campaign Overview'!A92,'Raw SmartLead Replies'!G:G,"Interested"))</f>
        <v/>
      </c>
      <c r="O252" s="0" t="str">
        <f aca="false">IF('Campaign Overview'!A92="","",COUNTIFS('Raw GHL Data'!C:C,'Campaign Overview'!A92,'Raw GHL Data'!E:E,"&lt;&gt;"))</f>
        <v/>
      </c>
      <c r="P252" s="0" t="str">
        <f aca="false">IF('Campaign Overview'!A92="","",COUNTIFS('Raw GHL Data'!C:C,'Campaign Overview'!A92,'Raw GHL Data'!H:H,"&lt;&gt;"))</f>
        <v/>
      </c>
      <c r="Q252" s="21" t="str">
        <f aca="false">IF(OR('Campaign Overview'!A92="",M252=0),"",P252/M252)</f>
        <v/>
      </c>
    </row>
    <row r="253" customFormat="false" ht="15" hidden="false" customHeight="false" outlineLevel="0" collapsed="false">
      <c r="K253" s="0" t="str">
        <f aca="false">IF('Campaign Overview'!A93="","",'Campaign Overview'!A93)</f>
        <v/>
      </c>
      <c r="L253" s="0" t="str">
        <f aca="false">IF('Campaign Overview'!A93="","",'Campaign Overview'!B93)</f>
        <v/>
      </c>
      <c r="M253" s="0" t="str">
        <f aca="false">IF('Campaign Overview'!A93="","",COUNTIFS('Raw SmartLead Replies'!A:A,'Campaign Overview'!A93))</f>
        <v/>
      </c>
      <c r="N253" s="0" t="str">
        <f aca="false">IF('Campaign Overview'!A93="","",COUNTIFS('Raw SmartLead Replies'!A:A,'Campaign Overview'!A93,'Raw SmartLead Replies'!G:G,"Interested"))</f>
        <v/>
      </c>
      <c r="O253" s="0" t="str">
        <f aca="false">IF('Campaign Overview'!A93="","",COUNTIFS('Raw GHL Data'!C:C,'Campaign Overview'!A93,'Raw GHL Data'!E:E,"&lt;&gt;"))</f>
        <v/>
      </c>
      <c r="P253" s="0" t="str">
        <f aca="false">IF('Campaign Overview'!A93="","",COUNTIFS('Raw GHL Data'!C:C,'Campaign Overview'!A93,'Raw GHL Data'!H:H,"&lt;&gt;"))</f>
        <v/>
      </c>
      <c r="Q253" s="21" t="str">
        <f aca="false">IF(OR('Campaign Overview'!A93="",M253=0),"",P253/M253)</f>
        <v/>
      </c>
    </row>
    <row r="254" customFormat="false" ht="15" hidden="false" customHeight="false" outlineLevel="0" collapsed="false">
      <c r="K254" s="0" t="str">
        <f aca="false">IF('Campaign Overview'!A94="","",'Campaign Overview'!A94)</f>
        <v/>
      </c>
      <c r="L254" s="0" t="str">
        <f aca="false">IF('Campaign Overview'!A94="","",'Campaign Overview'!B94)</f>
        <v/>
      </c>
      <c r="M254" s="0" t="str">
        <f aca="false">IF('Campaign Overview'!A94="","",COUNTIFS('Raw SmartLead Replies'!A:A,'Campaign Overview'!A94))</f>
        <v/>
      </c>
      <c r="N254" s="0" t="str">
        <f aca="false">IF('Campaign Overview'!A94="","",COUNTIFS('Raw SmartLead Replies'!A:A,'Campaign Overview'!A94,'Raw SmartLead Replies'!G:G,"Interested"))</f>
        <v/>
      </c>
      <c r="O254" s="0" t="str">
        <f aca="false">IF('Campaign Overview'!A94="","",COUNTIFS('Raw GHL Data'!C:C,'Campaign Overview'!A94,'Raw GHL Data'!E:E,"&lt;&gt;"))</f>
        <v/>
      </c>
      <c r="P254" s="0" t="str">
        <f aca="false">IF('Campaign Overview'!A94="","",COUNTIFS('Raw GHL Data'!C:C,'Campaign Overview'!A94,'Raw GHL Data'!H:H,"&lt;&gt;"))</f>
        <v/>
      </c>
      <c r="Q254" s="21" t="str">
        <f aca="false">IF(OR('Campaign Overview'!A94="",M254=0),"",P254/M254)</f>
        <v/>
      </c>
    </row>
    <row r="255" customFormat="false" ht="15" hidden="false" customHeight="false" outlineLevel="0" collapsed="false">
      <c r="K255" s="0" t="str">
        <f aca="false">IF('Campaign Overview'!A95="","",'Campaign Overview'!A95)</f>
        <v/>
      </c>
      <c r="L255" s="0" t="str">
        <f aca="false">IF('Campaign Overview'!A95="","",'Campaign Overview'!B95)</f>
        <v/>
      </c>
      <c r="M255" s="0" t="str">
        <f aca="false">IF('Campaign Overview'!A95="","",COUNTIFS('Raw SmartLead Replies'!A:A,'Campaign Overview'!A95))</f>
        <v/>
      </c>
      <c r="N255" s="0" t="str">
        <f aca="false">IF('Campaign Overview'!A95="","",COUNTIFS('Raw SmartLead Replies'!A:A,'Campaign Overview'!A95,'Raw SmartLead Replies'!G:G,"Interested"))</f>
        <v/>
      </c>
      <c r="O255" s="0" t="str">
        <f aca="false">IF('Campaign Overview'!A95="","",COUNTIFS('Raw GHL Data'!C:C,'Campaign Overview'!A95,'Raw GHL Data'!E:E,"&lt;&gt;"))</f>
        <v/>
      </c>
      <c r="P255" s="0" t="str">
        <f aca="false">IF('Campaign Overview'!A95="","",COUNTIFS('Raw GHL Data'!C:C,'Campaign Overview'!A95,'Raw GHL Data'!H:H,"&lt;&gt;"))</f>
        <v/>
      </c>
      <c r="Q255" s="21" t="str">
        <f aca="false">IF(OR('Campaign Overview'!A95="",M255=0),"",P255/M255)</f>
        <v/>
      </c>
    </row>
    <row r="256" customFormat="false" ht="15" hidden="false" customHeight="false" outlineLevel="0" collapsed="false">
      <c r="K256" s="0" t="str">
        <f aca="false">IF('Campaign Overview'!A96="","",'Campaign Overview'!A96)</f>
        <v/>
      </c>
      <c r="L256" s="0" t="str">
        <f aca="false">IF('Campaign Overview'!A96="","",'Campaign Overview'!B96)</f>
        <v/>
      </c>
      <c r="M256" s="0" t="str">
        <f aca="false">IF('Campaign Overview'!A96="","",COUNTIFS('Raw SmartLead Replies'!A:A,'Campaign Overview'!A96))</f>
        <v/>
      </c>
      <c r="N256" s="0" t="str">
        <f aca="false">IF('Campaign Overview'!A96="","",COUNTIFS('Raw SmartLead Replies'!A:A,'Campaign Overview'!A96,'Raw SmartLead Replies'!G:G,"Interested"))</f>
        <v/>
      </c>
      <c r="O256" s="0" t="str">
        <f aca="false">IF('Campaign Overview'!A96="","",COUNTIFS('Raw GHL Data'!C:C,'Campaign Overview'!A96,'Raw GHL Data'!E:E,"&lt;&gt;"))</f>
        <v/>
      </c>
      <c r="P256" s="0" t="str">
        <f aca="false">IF('Campaign Overview'!A96="","",COUNTIFS('Raw GHL Data'!C:C,'Campaign Overview'!A96,'Raw GHL Data'!H:H,"&lt;&gt;"))</f>
        <v/>
      </c>
      <c r="Q256" s="21" t="str">
        <f aca="false">IF(OR('Campaign Overview'!A96="",M256=0),"",P256/M256)</f>
        <v/>
      </c>
    </row>
    <row r="257" customFormat="false" ht="15" hidden="false" customHeight="false" outlineLevel="0" collapsed="false">
      <c r="K257" s="0" t="str">
        <f aca="false">IF('Campaign Overview'!A97="","",'Campaign Overview'!A97)</f>
        <v/>
      </c>
      <c r="L257" s="0" t="str">
        <f aca="false">IF('Campaign Overview'!A97="","",'Campaign Overview'!B97)</f>
        <v/>
      </c>
      <c r="M257" s="0" t="str">
        <f aca="false">IF('Campaign Overview'!A97="","",COUNTIFS('Raw SmartLead Replies'!A:A,'Campaign Overview'!A97))</f>
        <v/>
      </c>
      <c r="N257" s="0" t="str">
        <f aca="false">IF('Campaign Overview'!A97="","",COUNTIFS('Raw SmartLead Replies'!A:A,'Campaign Overview'!A97,'Raw SmartLead Replies'!G:G,"Interested"))</f>
        <v/>
      </c>
      <c r="O257" s="0" t="str">
        <f aca="false">IF('Campaign Overview'!A97="","",COUNTIFS('Raw GHL Data'!C:C,'Campaign Overview'!A97,'Raw GHL Data'!E:E,"&lt;&gt;"))</f>
        <v/>
      </c>
      <c r="P257" s="0" t="str">
        <f aca="false">IF('Campaign Overview'!A97="","",COUNTIFS('Raw GHL Data'!C:C,'Campaign Overview'!A97,'Raw GHL Data'!H:H,"&lt;&gt;"))</f>
        <v/>
      </c>
      <c r="Q257" s="21" t="str">
        <f aca="false">IF(OR('Campaign Overview'!A97="",M257=0),"",P257/M257)</f>
        <v/>
      </c>
    </row>
    <row r="258" customFormat="false" ht="15" hidden="false" customHeight="false" outlineLevel="0" collapsed="false">
      <c r="K258" s="0" t="str">
        <f aca="false">IF('Campaign Overview'!A98="","",'Campaign Overview'!A98)</f>
        <v/>
      </c>
      <c r="L258" s="0" t="str">
        <f aca="false">IF('Campaign Overview'!A98="","",'Campaign Overview'!B98)</f>
        <v/>
      </c>
      <c r="M258" s="0" t="str">
        <f aca="false">IF('Campaign Overview'!A98="","",COUNTIFS('Raw SmartLead Replies'!A:A,'Campaign Overview'!A98))</f>
        <v/>
      </c>
      <c r="N258" s="0" t="str">
        <f aca="false">IF('Campaign Overview'!A98="","",COUNTIFS('Raw SmartLead Replies'!A:A,'Campaign Overview'!A98,'Raw SmartLead Replies'!G:G,"Interested"))</f>
        <v/>
      </c>
      <c r="O258" s="0" t="str">
        <f aca="false">IF('Campaign Overview'!A98="","",COUNTIFS('Raw GHL Data'!C:C,'Campaign Overview'!A98,'Raw GHL Data'!E:E,"&lt;&gt;"))</f>
        <v/>
      </c>
      <c r="P258" s="0" t="str">
        <f aca="false">IF('Campaign Overview'!A98="","",COUNTIFS('Raw GHL Data'!C:C,'Campaign Overview'!A98,'Raw GHL Data'!H:H,"&lt;&gt;"))</f>
        <v/>
      </c>
      <c r="Q258" s="21" t="str">
        <f aca="false">IF(OR('Campaign Overview'!A98="",M258=0),"",P258/M258)</f>
        <v/>
      </c>
    </row>
    <row r="259" customFormat="false" ht="15" hidden="false" customHeight="false" outlineLevel="0" collapsed="false">
      <c r="K259" s="0" t="str">
        <f aca="false">IF('Campaign Overview'!A99="","",'Campaign Overview'!A99)</f>
        <v/>
      </c>
      <c r="L259" s="0" t="str">
        <f aca="false">IF('Campaign Overview'!A99="","",'Campaign Overview'!B99)</f>
        <v/>
      </c>
      <c r="M259" s="0" t="str">
        <f aca="false">IF('Campaign Overview'!A99="","",COUNTIFS('Raw SmartLead Replies'!A:A,'Campaign Overview'!A99))</f>
        <v/>
      </c>
      <c r="N259" s="0" t="str">
        <f aca="false">IF('Campaign Overview'!A99="","",COUNTIFS('Raw SmartLead Replies'!A:A,'Campaign Overview'!A99,'Raw SmartLead Replies'!G:G,"Interested"))</f>
        <v/>
      </c>
      <c r="O259" s="0" t="str">
        <f aca="false">IF('Campaign Overview'!A99="","",COUNTIFS('Raw GHL Data'!C:C,'Campaign Overview'!A99,'Raw GHL Data'!E:E,"&lt;&gt;"))</f>
        <v/>
      </c>
      <c r="P259" s="0" t="str">
        <f aca="false">IF('Campaign Overview'!A99="","",COUNTIFS('Raw GHL Data'!C:C,'Campaign Overview'!A99,'Raw GHL Data'!H:H,"&lt;&gt;"))</f>
        <v/>
      </c>
      <c r="Q259" s="21" t="str">
        <f aca="false">IF(OR('Campaign Overview'!A99="",M259=0),"",P259/M259)</f>
        <v/>
      </c>
    </row>
    <row r="260" customFormat="false" ht="15" hidden="false" customHeight="false" outlineLevel="0" collapsed="false">
      <c r="K260" s="0" t="str">
        <f aca="false">IF('Campaign Overview'!A100="","",'Campaign Overview'!A100)</f>
        <v/>
      </c>
      <c r="L260" s="0" t="str">
        <f aca="false">IF('Campaign Overview'!A100="","",'Campaign Overview'!B100)</f>
        <v/>
      </c>
      <c r="M260" s="0" t="str">
        <f aca="false">IF('Campaign Overview'!A100="","",COUNTIFS('Raw SmartLead Replies'!A:A,'Campaign Overview'!A100))</f>
        <v/>
      </c>
      <c r="N260" s="0" t="str">
        <f aca="false">IF('Campaign Overview'!A100="","",COUNTIFS('Raw SmartLead Replies'!A:A,'Campaign Overview'!A100,'Raw SmartLead Replies'!G:G,"Interested"))</f>
        <v/>
      </c>
      <c r="O260" s="0" t="str">
        <f aca="false">IF('Campaign Overview'!A100="","",COUNTIFS('Raw GHL Data'!C:C,'Campaign Overview'!A100,'Raw GHL Data'!E:E,"&lt;&gt;"))</f>
        <v/>
      </c>
      <c r="P260" s="0" t="str">
        <f aca="false">IF('Campaign Overview'!A100="","",COUNTIFS('Raw GHL Data'!C:C,'Campaign Overview'!A100,'Raw GHL Data'!H:H,"&lt;&gt;"))</f>
        <v/>
      </c>
      <c r="Q260" s="21" t="str">
        <f aca="false">IF(OR('Campaign Overview'!A100="",M260=0),"",P260/M260)</f>
        <v/>
      </c>
    </row>
    <row r="261" customFormat="false" ht="15" hidden="false" customHeight="false" outlineLevel="0" collapsed="false">
      <c r="K261" s="0" t="str">
        <f aca="false">IF('Campaign Overview'!A101="","",'Campaign Overview'!A101)</f>
        <v/>
      </c>
      <c r="L261" s="0" t="str">
        <f aca="false">IF('Campaign Overview'!A101="","",'Campaign Overview'!B101)</f>
        <v/>
      </c>
      <c r="M261" s="0" t="str">
        <f aca="false">IF('Campaign Overview'!A101="","",COUNTIFS('Raw SmartLead Replies'!A:A,'Campaign Overview'!A101))</f>
        <v/>
      </c>
      <c r="N261" s="0" t="str">
        <f aca="false">IF('Campaign Overview'!A101="","",COUNTIFS('Raw SmartLead Replies'!A:A,'Campaign Overview'!A101,'Raw SmartLead Replies'!G:G,"Interested"))</f>
        <v/>
      </c>
      <c r="O261" s="0" t="str">
        <f aca="false">IF('Campaign Overview'!A101="","",COUNTIFS('Raw GHL Data'!C:C,'Campaign Overview'!A101,'Raw GHL Data'!E:E,"&lt;&gt;"))</f>
        <v/>
      </c>
      <c r="P261" s="0" t="str">
        <f aca="false">IF('Campaign Overview'!A101="","",COUNTIFS('Raw GHL Data'!C:C,'Campaign Overview'!A101,'Raw GHL Data'!H:H,"&lt;&gt;"))</f>
        <v/>
      </c>
      <c r="Q261" s="21" t="str">
        <f aca="false">IF(OR('Campaign Overview'!A101="",M261=0),"",P261/M261)</f>
        <v/>
      </c>
    </row>
    <row r="262" customFormat="false" ht="15" hidden="false" customHeight="false" outlineLevel="0" collapsed="false">
      <c r="K262" s="0" t="str">
        <f aca="false">IF('Campaign Overview'!A102="","",'Campaign Overview'!A102)</f>
        <v/>
      </c>
      <c r="L262" s="0" t="str">
        <f aca="false">IF('Campaign Overview'!A102="","",'Campaign Overview'!B102)</f>
        <v/>
      </c>
      <c r="M262" s="0" t="str">
        <f aca="false">IF('Campaign Overview'!A102="","",COUNTIFS('Raw SmartLead Replies'!A:A,'Campaign Overview'!A102))</f>
        <v/>
      </c>
      <c r="N262" s="0" t="str">
        <f aca="false">IF('Campaign Overview'!A102="","",COUNTIFS('Raw SmartLead Replies'!A:A,'Campaign Overview'!A102,'Raw SmartLead Replies'!G:G,"Interested"))</f>
        <v/>
      </c>
      <c r="O262" s="0" t="str">
        <f aca="false">IF('Campaign Overview'!A102="","",COUNTIFS('Raw GHL Data'!C:C,'Campaign Overview'!A102,'Raw GHL Data'!E:E,"&lt;&gt;"))</f>
        <v/>
      </c>
      <c r="P262" s="0" t="str">
        <f aca="false">IF('Campaign Overview'!A102="","",COUNTIFS('Raw GHL Data'!C:C,'Campaign Overview'!A102,'Raw GHL Data'!H:H,"&lt;&gt;"))</f>
        <v/>
      </c>
      <c r="Q262" s="21" t="str">
        <f aca="false">IF(OR('Campaign Overview'!A102="",M262=0),"",P262/M262)</f>
        <v/>
      </c>
    </row>
    <row r="263" customFormat="false" ht="15" hidden="false" customHeight="false" outlineLevel="0" collapsed="false">
      <c r="K263" s="0" t="str">
        <f aca="false">IF('Campaign Overview'!A103="","",'Campaign Overview'!A103)</f>
        <v/>
      </c>
      <c r="L263" s="0" t="str">
        <f aca="false">IF('Campaign Overview'!A103="","",'Campaign Overview'!B103)</f>
        <v/>
      </c>
      <c r="M263" s="0" t="str">
        <f aca="false">IF('Campaign Overview'!A103="","",COUNTIFS('Raw SmartLead Replies'!A:A,'Campaign Overview'!A103))</f>
        <v/>
      </c>
      <c r="N263" s="0" t="str">
        <f aca="false">IF('Campaign Overview'!A103="","",COUNTIFS('Raw SmartLead Replies'!A:A,'Campaign Overview'!A103,'Raw SmartLead Replies'!G:G,"Interested"))</f>
        <v/>
      </c>
      <c r="O263" s="0" t="str">
        <f aca="false">IF('Campaign Overview'!A103="","",COUNTIFS('Raw GHL Data'!C:C,'Campaign Overview'!A103,'Raw GHL Data'!E:E,"&lt;&gt;"))</f>
        <v/>
      </c>
      <c r="P263" s="0" t="str">
        <f aca="false">IF('Campaign Overview'!A103="","",COUNTIFS('Raw GHL Data'!C:C,'Campaign Overview'!A103,'Raw GHL Data'!H:H,"&lt;&gt;"))</f>
        <v/>
      </c>
      <c r="Q263" s="21" t="str">
        <f aca="false">IF(OR('Campaign Overview'!A103="",M263=0),"",P263/M263)</f>
        <v/>
      </c>
    </row>
    <row r="264" customFormat="false" ht="15" hidden="false" customHeight="false" outlineLevel="0" collapsed="false">
      <c r="K264" s="0" t="str">
        <f aca="false">IF('Campaign Overview'!A104="","",'Campaign Overview'!A104)</f>
        <v/>
      </c>
      <c r="L264" s="0" t="str">
        <f aca="false">IF('Campaign Overview'!A104="","",'Campaign Overview'!B104)</f>
        <v/>
      </c>
      <c r="M264" s="0" t="str">
        <f aca="false">IF('Campaign Overview'!A104="","",COUNTIFS('Raw SmartLead Replies'!A:A,'Campaign Overview'!A104))</f>
        <v/>
      </c>
      <c r="N264" s="0" t="str">
        <f aca="false">IF('Campaign Overview'!A104="","",COUNTIFS('Raw SmartLead Replies'!A:A,'Campaign Overview'!A104,'Raw SmartLead Replies'!G:G,"Interested"))</f>
        <v/>
      </c>
      <c r="O264" s="0" t="str">
        <f aca="false">IF('Campaign Overview'!A104="","",COUNTIFS('Raw GHL Data'!C:C,'Campaign Overview'!A104,'Raw GHL Data'!E:E,"&lt;&gt;"))</f>
        <v/>
      </c>
      <c r="P264" s="0" t="str">
        <f aca="false">IF('Campaign Overview'!A104="","",COUNTIFS('Raw GHL Data'!C:C,'Campaign Overview'!A104,'Raw GHL Data'!H:H,"&lt;&gt;"))</f>
        <v/>
      </c>
      <c r="Q264" s="21" t="str">
        <f aca="false">IF(OR('Campaign Overview'!A104="",M264=0),"",P264/M264)</f>
        <v/>
      </c>
    </row>
    <row r="265" customFormat="false" ht="15" hidden="false" customHeight="false" outlineLevel="0" collapsed="false">
      <c r="K265" s="0" t="str">
        <f aca="false">IF('Campaign Overview'!A105="","",'Campaign Overview'!A105)</f>
        <v/>
      </c>
      <c r="L265" s="0" t="str">
        <f aca="false">IF('Campaign Overview'!A105="","",'Campaign Overview'!B105)</f>
        <v/>
      </c>
      <c r="M265" s="0" t="str">
        <f aca="false">IF('Campaign Overview'!A105="","",COUNTIFS('Raw SmartLead Replies'!A:A,'Campaign Overview'!A105))</f>
        <v/>
      </c>
      <c r="N265" s="0" t="str">
        <f aca="false">IF('Campaign Overview'!A105="","",COUNTIFS('Raw SmartLead Replies'!A:A,'Campaign Overview'!A105,'Raw SmartLead Replies'!G:G,"Interested"))</f>
        <v/>
      </c>
      <c r="O265" s="0" t="str">
        <f aca="false">IF('Campaign Overview'!A105="","",COUNTIFS('Raw GHL Data'!C:C,'Campaign Overview'!A105,'Raw GHL Data'!E:E,"&lt;&gt;"))</f>
        <v/>
      </c>
      <c r="P265" s="0" t="str">
        <f aca="false">IF('Campaign Overview'!A105="","",COUNTIFS('Raw GHL Data'!C:C,'Campaign Overview'!A105,'Raw GHL Data'!H:H,"&lt;&gt;"))</f>
        <v/>
      </c>
      <c r="Q265" s="21" t="str">
        <f aca="false">IF(OR('Campaign Overview'!A105="",M265=0),"",P265/M265)</f>
        <v/>
      </c>
    </row>
    <row r="266" customFormat="false" ht="15" hidden="false" customHeight="false" outlineLevel="0" collapsed="false">
      <c r="K266" s="0" t="str">
        <f aca="false">IF('Campaign Overview'!A106="","",'Campaign Overview'!A106)</f>
        <v/>
      </c>
      <c r="L266" s="0" t="str">
        <f aca="false">IF('Campaign Overview'!A106="","",'Campaign Overview'!B106)</f>
        <v/>
      </c>
      <c r="M266" s="0" t="str">
        <f aca="false">IF('Campaign Overview'!A106="","",COUNTIFS('Raw SmartLead Replies'!A:A,'Campaign Overview'!A106))</f>
        <v/>
      </c>
      <c r="N266" s="0" t="str">
        <f aca="false">IF('Campaign Overview'!A106="","",COUNTIFS('Raw SmartLead Replies'!A:A,'Campaign Overview'!A106,'Raw SmartLead Replies'!G:G,"Interested"))</f>
        <v/>
      </c>
      <c r="O266" s="0" t="str">
        <f aca="false">IF('Campaign Overview'!A106="","",COUNTIFS('Raw GHL Data'!C:C,'Campaign Overview'!A106,'Raw GHL Data'!E:E,"&lt;&gt;"))</f>
        <v/>
      </c>
      <c r="P266" s="0" t="str">
        <f aca="false">IF('Campaign Overview'!A106="","",COUNTIFS('Raw GHL Data'!C:C,'Campaign Overview'!A106,'Raw GHL Data'!H:H,"&lt;&gt;"))</f>
        <v/>
      </c>
      <c r="Q266" s="21" t="str">
        <f aca="false">IF(OR('Campaign Overview'!A106="",M266=0),"",P266/M266)</f>
        <v/>
      </c>
    </row>
    <row r="267" customFormat="false" ht="15" hidden="false" customHeight="false" outlineLevel="0" collapsed="false">
      <c r="K267" s="0" t="str">
        <f aca="false">IF('Campaign Overview'!A107="","",'Campaign Overview'!A107)</f>
        <v/>
      </c>
      <c r="L267" s="0" t="str">
        <f aca="false">IF('Campaign Overview'!A107="","",'Campaign Overview'!B107)</f>
        <v/>
      </c>
      <c r="M267" s="0" t="str">
        <f aca="false">IF('Campaign Overview'!A107="","",COUNTIFS('Raw SmartLead Replies'!A:A,'Campaign Overview'!A107))</f>
        <v/>
      </c>
      <c r="N267" s="0" t="str">
        <f aca="false">IF('Campaign Overview'!A107="","",COUNTIFS('Raw SmartLead Replies'!A:A,'Campaign Overview'!A107,'Raw SmartLead Replies'!G:G,"Interested"))</f>
        <v/>
      </c>
      <c r="O267" s="0" t="str">
        <f aca="false">IF('Campaign Overview'!A107="","",COUNTIFS('Raw GHL Data'!C:C,'Campaign Overview'!A107,'Raw GHL Data'!E:E,"&lt;&gt;"))</f>
        <v/>
      </c>
      <c r="P267" s="0" t="str">
        <f aca="false">IF('Campaign Overview'!A107="","",COUNTIFS('Raw GHL Data'!C:C,'Campaign Overview'!A107,'Raw GHL Data'!H:H,"&lt;&gt;"))</f>
        <v/>
      </c>
      <c r="Q267" s="21" t="str">
        <f aca="false">IF(OR('Campaign Overview'!A107="",M267=0),"",P267/M267)</f>
        <v/>
      </c>
    </row>
    <row r="268" customFormat="false" ht="15" hidden="false" customHeight="false" outlineLevel="0" collapsed="false">
      <c r="K268" s="0" t="str">
        <f aca="false">IF('Campaign Overview'!A108="","",'Campaign Overview'!A108)</f>
        <v/>
      </c>
      <c r="L268" s="0" t="str">
        <f aca="false">IF('Campaign Overview'!A108="","",'Campaign Overview'!B108)</f>
        <v/>
      </c>
      <c r="M268" s="0" t="str">
        <f aca="false">IF('Campaign Overview'!A108="","",COUNTIFS('Raw SmartLead Replies'!A:A,'Campaign Overview'!A108))</f>
        <v/>
      </c>
      <c r="N268" s="0" t="str">
        <f aca="false">IF('Campaign Overview'!A108="","",COUNTIFS('Raw SmartLead Replies'!A:A,'Campaign Overview'!A108,'Raw SmartLead Replies'!G:G,"Interested"))</f>
        <v/>
      </c>
      <c r="O268" s="0" t="str">
        <f aca="false">IF('Campaign Overview'!A108="","",COUNTIFS('Raw GHL Data'!C:C,'Campaign Overview'!A108,'Raw GHL Data'!E:E,"&lt;&gt;"))</f>
        <v/>
      </c>
      <c r="P268" s="0" t="str">
        <f aca="false">IF('Campaign Overview'!A108="","",COUNTIFS('Raw GHL Data'!C:C,'Campaign Overview'!A108,'Raw GHL Data'!H:H,"&lt;&gt;"))</f>
        <v/>
      </c>
      <c r="Q268" s="21" t="str">
        <f aca="false">IF(OR('Campaign Overview'!A108="",M268=0),"",P268/M268)</f>
        <v/>
      </c>
    </row>
    <row r="269" customFormat="false" ht="15" hidden="false" customHeight="false" outlineLevel="0" collapsed="false">
      <c r="K269" s="0" t="str">
        <f aca="false">IF('Campaign Overview'!A109="","",'Campaign Overview'!A109)</f>
        <v/>
      </c>
      <c r="L269" s="0" t="str">
        <f aca="false">IF('Campaign Overview'!A109="","",'Campaign Overview'!B109)</f>
        <v/>
      </c>
      <c r="M269" s="0" t="str">
        <f aca="false">IF('Campaign Overview'!A109="","",COUNTIFS('Raw SmartLead Replies'!A:A,'Campaign Overview'!A109))</f>
        <v/>
      </c>
      <c r="N269" s="0" t="str">
        <f aca="false">IF('Campaign Overview'!A109="","",COUNTIFS('Raw SmartLead Replies'!A:A,'Campaign Overview'!A109,'Raw SmartLead Replies'!G:G,"Interested"))</f>
        <v/>
      </c>
      <c r="O269" s="0" t="str">
        <f aca="false">IF('Campaign Overview'!A109="","",COUNTIFS('Raw GHL Data'!C:C,'Campaign Overview'!A109,'Raw GHL Data'!E:E,"&lt;&gt;"))</f>
        <v/>
      </c>
      <c r="P269" s="0" t="str">
        <f aca="false">IF('Campaign Overview'!A109="","",COUNTIFS('Raw GHL Data'!C:C,'Campaign Overview'!A109,'Raw GHL Data'!H:H,"&lt;&gt;"))</f>
        <v/>
      </c>
      <c r="Q269" s="21" t="str">
        <f aca="false">IF(OR('Campaign Overview'!A109="",M269=0),"",P269/M269)</f>
        <v/>
      </c>
    </row>
    <row r="270" customFormat="false" ht="15" hidden="false" customHeight="false" outlineLevel="0" collapsed="false">
      <c r="K270" s="0" t="str">
        <f aca="false">IF('Campaign Overview'!A110="","",'Campaign Overview'!A110)</f>
        <v/>
      </c>
      <c r="L270" s="0" t="str">
        <f aca="false">IF('Campaign Overview'!A110="","",'Campaign Overview'!B110)</f>
        <v/>
      </c>
      <c r="M270" s="0" t="str">
        <f aca="false">IF('Campaign Overview'!A110="","",COUNTIFS('Raw SmartLead Replies'!A:A,'Campaign Overview'!A110))</f>
        <v/>
      </c>
      <c r="N270" s="0" t="str">
        <f aca="false">IF('Campaign Overview'!A110="","",COUNTIFS('Raw SmartLead Replies'!A:A,'Campaign Overview'!A110,'Raw SmartLead Replies'!G:G,"Interested"))</f>
        <v/>
      </c>
      <c r="O270" s="0" t="str">
        <f aca="false">IF('Campaign Overview'!A110="","",COUNTIFS('Raw GHL Data'!C:C,'Campaign Overview'!A110,'Raw GHL Data'!E:E,"&lt;&gt;"))</f>
        <v/>
      </c>
      <c r="P270" s="0" t="str">
        <f aca="false">IF('Campaign Overview'!A110="","",COUNTIFS('Raw GHL Data'!C:C,'Campaign Overview'!A110,'Raw GHL Data'!H:H,"&lt;&gt;"))</f>
        <v/>
      </c>
      <c r="Q270" s="21" t="str">
        <f aca="false">IF(OR('Campaign Overview'!A110="",M270=0),"",P270/M270)</f>
        <v/>
      </c>
    </row>
    <row r="271" customFormat="false" ht="15" hidden="false" customHeight="false" outlineLevel="0" collapsed="false">
      <c r="K271" s="0" t="str">
        <f aca="false">IF('Campaign Overview'!A111="","",'Campaign Overview'!A111)</f>
        <v/>
      </c>
      <c r="L271" s="0" t="str">
        <f aca="false">IF('Campaign Overview'!A111="","",'Campaign Overview'!B111)</f>
        <v/>
      </c>
      <c r="M271" s="0" t="str">
        <f aca="false">IF('Campaign Overview'!A111="","",COUNTIFS('Raw SmartLead Replies'!A:A,'Campaign Overview'!A111))</f>
        <v/>
      </c>
      <c r="N271" s="0" t="str">
        <f aca="false">IF('Campaign Overview'!A111="","",COUNTIFS('Raw SmartLead Replies'!A:A,'Campaign Overview'!A111,'Raw SmartLead Replies'!G:G,"Interested"))</f>
        <v/>
      </c>
      <c r="O271" s="0" t="str">
        <f aca="false">IF('Campaign Overview'!A111="","",COUNTIFS('Raw GHL Data'!C:C,'Campaign Overview'!A111,'Raw GHL Data'!E:E,"&lt;&gt;"))</f>
        <v/>
      </c>
      <c r="P271" s="0" t="str">
        <f aca="false">IF('Campaign Overview'!A111="","",COUNTIFS('Raw GHL Data'!C:C,'Campaign Overview'!A111,'Raw GHL Data'!H:H,"&lt;&gt;"))</f>
        <v/>
      </c>
      <c r="Q271" s="21" t="str">
        <f aca="false">IF(OR('Campaign Overview'!A111="",M271=0),"",P271/M271)</f>
        <v/>
      </c>
    </row>
    <row r="272" customFormat="false" ht="15" hidden="false" customHeight="false" outlineLevel="0" collapsed="false">
      <c r="K272" s="0" t="str">
        <f aca="false">IF('Campaign Overview'!A112="","",'Campaign Overview'!A112)</f>
        <v/>
      </c>
      <c r="L272" s="0" t="str">
        <f aca="false">IF('Campaign Overview'!A112="","",'Campaign Overview'!B112)</f>
        <v/>
      </c>
      <c r="M272" s="0" t="str">
        <f aca="false">IF('Campaign Overview'!A112="","",COUNTIFS('Raw SmartLead Replies'!A:A,'Campaign Overview'!A112))</f>
        <v/>
      </c>
      <c r="N272" s="0" t="str">
        <f aca="false">IF('Campaign Overview'!A112="","",COUNTIFS('Raw SmartLead Replies'!A:A,'Campaign Overview'!A112,'Raw SmartLead Replies'!G:G,"Interested"))</f>
        <v/>
      </c>
      <c r="O272" s="0" t="str">
        <f aca="false">IF('Campaign Overview'!A112="","",COUNTIFS('Raw GHL Data'!C:C,'Campaign Overview'!A112,'Raw GHL Data'!E:E,"&lt;&gt;"))</f>
        <v/>
      </c>
      <c r="P272" s="0" t="str">
        <f aca="false">IF('Campaign Overview'!A112="","",COUNTIFS('Raw GHL Data'!C:C,'Campaign Overview'!A112,'Raw GHL Data'!H:H,"&lt;&gt;"))</f>
        <v/>
      </c>
      <c r="Q272" s="21" t="str">
        <f aca="false">IF(OR('Campaign Overview'!A112="",M272=0),"",P272/M272)</f>
        <v/>
      </c>
    </row>
    <row r="273" customFormat="false" ht="15" hidden="false" customHeight="false" outlineLevel="0" collapsed="false">
      <c r="K273" s="0" t="str">
        <f aca="false">IF('Campaign Overview'!A113="","",'Campaign Overview'!A113)</f>
        <v/>
      </c>
      <c r="L273" s="0" t="str">
        <f aca="false">IF('Campaign Overview'!A113="","",'Campaign Overview'!B113)</f>
        <v/>
      </c>
      <c r="M273" s="0" t="str">
        <f aca="false">IF('Campaign Overview'!A113="","",COUNTIFS('Raw SmartLead Replies'!A:A,'Campaign Overview'!A113))</f>
        <v/>
      </c>
      <c r="N273" s="0" t="str">
        <f aca="false">IF('Campaign Overview'!A113="","",COUNTIFS('Raw SmartLead Replies'!A:A,'Campaign Overview'!A113,'Raw SmartLead Replies'!G:G,"Interested"))</f>
        <v/>
      </c>
      <c r="O273" s="0" t="str">
        <f aca="false">IF('Campaign Overview'!A113="","",COUNTIFS('Raw GHL Data'!C:C,'Campaign Overview'!A113,'Raw GHL Data'!E:E,"&lt;&gt;"))</f>
        <v/>
      </c>
      <c r="P273" s="0" t="str">
        <f aca="false">IF('Campaign Overview'!A113="","",COUNTIFS('Raw GHL Data'!C:C,'Campaign Overview'!A113,'Raw GHL Data'!H:H,"&lt;&gt;"))</f>
        <v/>
      </c>
      <c r="Q273" s="21" t="str">
        <f aca="false">IF(OR('Campaign Overview'!A113="",M273=0),"",P273/M273)</f>
        <v/>
      </c>
    </row>
    <row r="274" customFormat="false" ht="15" hidden="false" customHeight="false" outlineLevel="0" collapsed="false">
      <c r="K274" s="0" t="str">
        <f aca="false">IF('Campaign Overview'!A114="","",'Campaign Overview'!A114)</f>
        <v/>
      </c>
      <c r="L274" s="0" t="str">
        <f aca="false">IF('Campaign Overview'!A114="","",'Campaign Overview'!B114)</f>
        <v/>
      </c>
      <c r="M274" s="0" t="str">
        <f aca="false">IF('Campaign Overview'!A114="","",COUNTIFS('Raw SmartLead Replies'!A:A,'Campaign Overview'!A114))</f>
        <v/>
      </c>
      <c r="N274" s="0" t="str">
        <f aca="false">IF('Campaign Overview'!A114="","",COUNTIFS('Raw SmartLead Replies'!A:A,'Campaign Overview'!A114,'Raw SmartLead Replies'!G:G,"Interested"))</f>
        <v/>
      </c>
      <c r="O274" s="0" t="str">
        <f aca="false">IF('Campaign Overview'!A114="","",COUNTIFS('Raw GHL Data'!C:C,'Campaign Overview'!A114,'Raw GHL Data'!E:E,"&lt;&gt;"))</f>
        <v/>
      </c>
      <c r="P274" s="0" t="str">
        <f aca="false">IF('Campaign Overview'!A114="","",COUNTIFS('Raw GHL Data'!C:C,'Campaign Overview'!A114,'Raw GHL Data'!H:H,"&lt;&gt;"))</f>
        <v/>
      </c>
      <c r="Q274" s="21" t="str">
        <f aca="false">IF(OR('Campaign Overview'!A114="",M274=0),"",P274/M274)</f>
        <v/>
      </c>
    </row>
    <row r="275" customFormat="false" ht="15" hidden="false" customHeight="false" outlineLevel="0" collapsed="false">
      <c r="K275" s="0" t="str">
        <f aca="false">IF('Campaign Overview'!A115="","",'Campaign Overview'!A115)</f>
        <v/>
      </c>
      <c r="L275" s="0" t="str">
        <f aca="false">IF('Campaign Overview'!A115="","",'Campaign Overview'!B115)</f>
        <v/>
      </c>
      <c r="M275" s="0" t="str">
        <f aca="false">IF('Campaign Overview'!A115="","",COUNTIFS('Raw SmartLead Replies'!A:A,'Campaign Overview'!A115))</f>
        <v/>
      </c>
      <c r="N275" s="0" t="str">
        <f aca="false">IF('Campaign Overview'!A115="","",COUNTIFS('Raw SmartLead Replies'!A:A,'Campaign Overview'!A115,'Raw SmartLead Replies'!G:G,"Interested"))</f>
        <v/>
      </c>
      <c r="O275" s="0" t="str">
        <f aca="false">IF('Campaign Overview'!A115="","",COUNTIFS('Raw GHL Data'!C:C,'Campaign Overview'!A115,'Raw GHL Data'!E:E,"&lt;&gt;"))</f>
        <v/>
      </c>
      <c r="P275" s="0" t="str">
        <f aca="false">IF('Campaign Overview'!A115="","",COUNTIFS('Raw GHL Data'!C:C,'Campaign Overview'!A115,'Raw GHL Data'!H:H,"&lt;&gt;"))</f>
        <v/>
      </c>
      <c r="Q275" s="21" t="str">
        <f aca="false">IF(OR('Campaign Overview'!A115="",M275=0),"",P275/M275)</f>
        <v/>
      </c>
    </row>
    <row r="276" customFormat="false" ht="15" hidden="false" customHeight="false" outlineLevel="0" collapsed="false">
      <c r="K276" s="0" t="str">
        <f aca="false">IF('Campaign Overview'!A116="","",'Campaign Overview'!A116)</f>
        <v/>
      </c>
      <c r="L276" s="0" t="str">
        <f aca="false">IF('Campaign Overview'!A116="","",'Campaign Overview'!B116)</f>
        <v/>
      </c>
      <c r="M276" s="0" t="str">
        <f aca="false">IF('Campaign Overview'!A116="","",COUNTIFS('Raw SmartLead Replies'!A:A,'Campaign Overview'!A116))</f>
        <v/>
      </c>
      <c r="N276" s="0" t="str">
        <f aca="false">IF('Campaign Overview'!A116="","",COUNTIFS('Raw SmartLead Replies'!A:A,'Campaign Overview'!A116,'Raw SmartLead Replies'!G:G,"Interested"))</f>
        <v/>
      </c>
      <c r="O276" s="0" t="str">
        <f aca="false">IF('Campaign Overview'!A116="","",COUNTIFS('Raw GHL Data'!C:C,'Campaign Overview'!A116,'Raw GHL Data'!E:E,"&lt;&gt;"))</f>
        <v/>
      </c>
      <c r="P276" s="0" t="str">
        <f aca="false">IF('Campaign Overview'!A116="","",COUNTIFS('Raw GHL Data'!C:C,'Campaign Overview'!A116,'Raw GHL Data'!H:H,"&lt;&gt;"))</f>
        <v/>
      </c>
      <c r="Q276" s="21" t="str">
        <f aca="false">IF(OR('Campaign Overview'!A116="",M276=0),"",P276/M276)</f>
        <v/>
      </c>
    </row>
    <row r="277" customFormat="false" ht="15" hidden="false" customHeight="false" outlineLevel="0" collapsed="false">
      <c r="K277" s="0" t="str">
        <f aca="false">IF('Campaign Overview'!A117="","",'Campaign Overview'!A117)</f>
        <v/>
      </c>
      <c r="L277" s="0" t="str">
        <f aca="false">IF('Campaign Overview'!A117="","",'Campaign Overview'!B117)</f>
        <v/>
      </c>
      <c r="M277" s="0" t="str">
        <f aca="false">IF('Campaign Overview'!A117="","",COUNTIFS('Raw SmartLead Replies'!A:A,'Campaign Overview'!A117))</f>
        <v/>
      </c>
      <c r="N277" s="0" t="str">
        <f aca="false">IF('Campaign Overview'!A117="","",COUNTIFS('Raw SmartLead Replies'!A:A,'Campaign Overview'!A117,'Raw SmartLead Replies'!G:G,"Interested"))</f>
        <v/>
      </c>
      <c r="O277" s="0" t="str">
        <f aca="false">IF('Campaign Overview'!A117="","",COUNTIFS('Raw GHL Data'!C:C,'Campaign Overview'!A117,'Raw GHL Data'!E:E,"&lt;&gt;"))</f>
        <v/>
      </c>
      <c r="P277" s="0" t="str">
        <f aca="false">IF('Campaign Overview'!A117="","",COUNTIFS('Raw GHL Data'!C:C,'Campaign Overview'!A117,'Raw GHL Data'!H:H,"&lt;&gt;"))</f>
        <v/>
      </c>
      <c r="Q277" s="21" t="str">
        <f aca="false">IF(OR('Campaign Overview'!A117="",M277=0),"",P277/M277)</f>
        <v/>
      </c>
    </row>
    <row r="278" customFormat="false" ht="15" hidden="false" customHeight="false" outlineLevel="0" collapsed="false">
      <c r="K278" s="0" t="str">
        <f aca="false">IF('Campaign Overview'!A118="","",'Campaign Overview'!A118)</f>
        <v/>
      </c>
      <c r="L278" s="0" t="str">
        <f aca="false">IF('Campaign Overview'!A118="","",'Campaign Overview'!B118)</f>
        <v/>
      </c>
      <c r="M278" s="0" t="str">
        <f aca="false">IF('Campaign Overview'!A118="","",COUNTIFS('Raw SmartLead Replies'!A:A,'Campaign Overview'!A118))</f>
        <v/>
      </c>
      <c r="N278" s="0" t="str">
        <f aca="false">IF('Campaign Overview'!A118="","",COUNTIFS('Raw SmartLead Replies'!A:A,'Campaign Overview'!A118,'Raw SmartLead Replies'!G:G,"Interested"))</f>
        <v/>
      </c>
      <c r="O278" s="0" t="str">
        <f aca="false">IF('Campaign Overview'!A118="","",COUNTIFS('Raw GHL Data'!C:C,'Campaign Overview'!A118,'Raw GHL Data'!E:E,"&lt;&gt;"))</f>
        <v/>
      </c>
      <c r="P278" s="0" t="str">
        <f aca="false">IF('Campaign Overview'!A118="","",COUNTIFS('Raw GHL Data'!C:C,'Campaign Overview'!A118,'Raw GHL Data'!H:H,"&lt;&gt;"))</f>
        <v/>
      </c>
      <c r="Q278" s="21" t="str">
        <f aca="false">IF(OR('Campaign Overview'!A118="",M278=0),"",P278/M278)</f>
        <v/>
      </c>
    </row>
    <row r="279" customFormat="false" ht="15" hidden="false" customHeight="false" outlineLevel="0" collapsed="false">
      <c r="K279" s="0" t="str">
        <f aca="false">IF('Campaign Overview'!A119="","",'Campaign Overview'!A119)</f>
        <v/>
      </c>
      <c r="L279" s="0" t="str">
        <f aca="false">IF('Campaign Overview'!A119="","",'Campaign Overview'!B119)</f>
        <v/>
      </c>
      <c r="M279" s="0" t="str">
        <f aca="false">IF('Campaign Overview'!A119="","",COUNTIFS('Raw SmartLead Replies'!A:A,'Campaign Overview'!A119))</f>
        <v/>
      </c>
      <c r="N279" s="0" t="str">
        <f aca="false">IF('Campaign Overview'!A119="","",COUNTIFS('Raw SmartLead Replies'!A:A,'Campaign Overview'!A119,'Raw SmartLead Replies'!G:G,"Interested"))</f>
        <v/>
      </c>
      <c r="O279" s="0" t="str">
        <f aca="false">IF('Campaign Overview'!A119="","",COUNTIFS('Raw GHL Data'!C:C,'Campaign Overview'!A119,'Raw GHL Data'!E:E,"&lt;&gt;"))</f>
        <v/>
      </c>
      <c r="P279" s="0" t="str">
        <f aca="false">IF('Campaign Overview'!A119="","",COUNTIFS('Raw GHL Data'!C:C,'Campaign Overview'!A119,'Raw GHL Data'!H:H,"&lt;&gt;"))</f>
        <v/>
      </c>
      <c r="Q279" s="21" t="str">
        <f aca="false">IF(OR('Campaign Overview'!A119="",M279=0),"",P279/M279)</f>
        <v/>
      </c>
    </row>
    <row r="280" customFormat="false" ht="15" hidden="false" customHeight="false" outlineLevel="0" collapsed="false">
      <c r="K280" s="0" t="str">
        <f aca="false">IF('Campaign Overview'!A120="","",'Campaign Overview'!A120)</f>
        <v/>
      </c>
      <c r="L280" s="0" t="str">
        <f aca="false">IF('Campaign Overview'!A120="","",'Campaign Overview'!B120)</f>
        <v/>
      </c>
      <c r="M280" s="0" t="str">
        <f aca="false">IF('Campaign Overview'!A120="","",COUNTIFS('Raw SmartLead Replies'!A:A,'Campaign Overview'!A120))</f>
        <v/>
      </c>
      <c r="N280" s="0" t="str">
        <f aca="false">IF('Campaign Overview'!A120="","",COUNTIFS('Raw SmartLead Replies'!A:A,'Campaign Overview'!A120,'Raw SmartLead Replies'!G:G,"Interested"))</f>
        <v/>
      </c>
      <c r="O280" s="0" t="str">
        <f aca="false">IF('Campaign Overview'!A120="","",COUNTIFS('Raw GHL Data'!C:C,'Campaign Overview'!A120,'Raw GHL Data'!E:E,"&lt;&gt;"))</f>
        <v/>
      </c>
      <c r="P280" s="0" t="str">
        <f aca="false">IF('Campaign Overview'!A120="","",COUNTIFS('Raw GHL Data'!C:C,'Campaign Overview'!A120,'Raw GHL Data'!H:H,"&lt;&gt;"))</f>
        <v/>
      </c>
      <c r="Q280" s="21" t="str">
        <f aca="false">IF(OR('Campaign Overview'!A120="",M280=0),"",P280/M280)</f>
        <v/>
      </c>
    </row>
    <row r="281" customFormat="false" ht="15" hidden="false" customHeight="false" outlineLevel="0" collapsed="false">
      <c r="K281" s="0" t="str">
        <f aca="false">IF('Campaign Overview'!A121="","",'Campaign Overview'!A121)</f>
        <v/>
      </c>
      <c r="L281" s="0" t="str">
        <f aca="false">IF('Campaign Overview'!A121="","",'Campaign Overview'!B121)</f>
        <v/>
      </c>
      <c r="M281" s="0" t="str">
        <f aca="false">IF('Campaign Overview'!A121="","",COUNTIFS('Raw SmartLead Replies'!A:A,'Campaign Overview'!A121))</f>
        <v/>
      </c>
      <c r="N281" s="0" t="str">
        <f aca="false">IF('Campaign Overview'!A121="","",COUNTIFS('Raw SmartLead Replies'!A:A,'Campaign Overview'!A121,'Raw SmartLead Replies'!G:G,"Interested"))</f>
        <v/>
      </c>
      <c r="O281" s="0" t="str">
        <f aca="false">IF('Campaign Overview'!A121="","",COUNTIFS('Raw GHL Data'!C:C,'Campaign Overview'!A121,'Raw GHL Data'!E:E,"&lt;&gt;"))</f>
        <v/>
      </c>
      <c r="P281" s="0" t="str">
        <f aca="false">IF('Campaign Overview'!A121="","",COUNTIFS('Raw GHL Data'!C:C,'Campaign Overview'!A121,'Raw GHL Data'!H:H,"&lt;&gt;"))</f>
        <v/>
      </c>
      <c r="Q281" s="21" t="str">
        <f aca="false">IF(OR('Campaign Overview'!A121="",M281=0),"",P281/M281)</f>
        <v/>
      </c>
    </row>
    <row r="282" customFormat="false" ht="15" hidden="false" customHeight="false" outlineLevel="0" collapsed="false">
      <c r="K282" s="0" t="str">
        <f aca="false">IF('Campaign Overview'!A122="","",'Campaign Overview'!A122)</f>
        <v/>
      </c>
      <c r="L282" s="0" t="str">
        <f aca="false">IF('Campaign Overview'!A122="","",'Campaign Overview'!B122)</f>
        <v/>
      </c>
      <c r="M282" s="0" t="str">
        <f aca="false">IF('Campaign Overview'!A122="","",COUNTIFS('Raw SmartLead Replies'!A:A,'Campaign Overview'!A122))</f>
        <v/>
      </c>
      <c r="N282" s="0" t="str">
        <f aca="false">IF('Campaign Overview'!A122="","",COUNTIFS('Raw SmartLead Replies'!A:A,'Campaign Overview'!A122,'Raw SmartLead Replies'!G:G,"Interested"))</f>
        <v/>
      </c>
      <c r="O282" s="0" t="str">
        <f aca="false">IF('Campaign Overview'!A122="","",COUNTIFS('Raw GHL Data'!C:C,'Campaign Overview'!A122,'Raw GHL Data'!E:E,"&lt;&gt;"))</f>
        <v/>
      </c>
      <c r="P282" s="0" t="str">
        <f aca="false">IF('Campaign Overview'!A122="","",COUNTIFS('Raw GHL Data'!C:C,'Campaign Overview'!A122,'Raw GHL Data'!H:H,"&lt;&gt;"))</f>
        <v/>
      </c>
      <c r="Q282" s="21" t="str">
        <f aca="false">IF(OR('Campaign Overview'!A122="",M282=0),"",P282/M282)</f>
        <v/>
      </c>
    </row>
    <row r="283" customFormat="false" ht="15" hidden="false" customHeight="false" outlineLevel="0" collapsed="false">
      <c r="K283" s="0" t="str">
        <f aca="false">IF('Campaign Overview'!A123="","",'Campaign Overview'!A123)</f>
        <v/>
      </c>
      <c r="L283" s="0" t="str">
        <f aca="false">IF('Campaign Overview'!A123="","",'Campaign Overview'!B123)</f>
        <v/>
      </c>
      <c r="M283" s="0" t="str">
        <f aca="false">IF('Campaign Overview'!A123="","",COUNTIFS('Raw SmartLead Replies'!A:A,'Campaign Overview'!A123))</f>
        <v/>
      </c>
      <c r="N283" s="0" t="str">
        <f aca="false">IF('Campaign Overview'!A123="","",COUNTIFS('Raw SmartLead Replies'!A:A,'Campaign Overview'!A123,'Raw SmartLead Replies'!G:G,"Interested"))</f>
        <v/>
      </c>
      <c r="O283" s="0" t="str">
        <f aca="false">IF('Campaign Overview'!A123="","",COUNTIFS('Raw GHL Data'!C:C,'Campaign Overview'!A123,'Raw GHL Data'!E:E,"&lt;&gt;"))</f>
        <v/>
      </c>
      <c r="P283" s="0" t="str">
        <f aca="false">IF('Campaign Overview'!A123="","",COUNTIFS('Raw GHL Data'!C:C,'Campaign Overview'!A123,'Raw GHL Data'!H:H,"&lt;&gt;"))</f>
        <v/>
      </c>
      <c r="Q283" s="21" t="str">
        <f aca="false">IF(OR('Campaign Overview'!A123="",M283=0),"",P283/M283)</f>
        <v/>
      </c>
    </row>
    <row r="284" customFormat="false" ht="15" hidden="false" customHeight="false" outlineLevel="0" collapsed="false">
      <c r="K284" s="0" t="str">
        <f aca="false">IF('Campaign Overview'!A124="","",'Campaign Overview'!A124)</f>
        <v/>
      </c>
      <c r="L284" s="0" t="str">
        <f aca="false">IF('Campaign Overview'!A124="","",'Campaign Overview'!B124)</f>
        <v/>
      </c>
      <c r="M284" s="0" t="str">
        <f aca="false">IF('Campaign Overview'!A124="","",COUNTIFS('Raw SmartLead Replies'!A:A,'Campaign Overview'!A124))</f>
        <v/>
      </c>
      <c r="N284" s="0" t="str">
        <f aca="false">IF('Campaign Overview'!A124="","",COUNTIFS('Raw SmartLead Replies'!A:A,'Campaign Overview'!A124,'Raw SmartLead Replies'!G:G,"Interested"))</f>
        <v/>
      </c>
      <c r="O284" s="0" t="str">
        <f aca="false">IF('Campaign Overview'!A124="","",COUNTIFS('Raw GHL Data'!C:C,'Campaign Overview'!A124,'Raw GHL Data'!E:E,"&lt;&gt;"))</f>
        <v/>
      </c>
      <c r="P284" s="0" t="str">
        <f aca="false">IF('Campaign Overview'!A124="","",COUNTIFS('Raw GHL Data'!C:C,'Campaign Overview'!A124,'Raw GHL Data'!H:H,"&lt;&gt;"))</f>
        <v/>
      </c>
      <c r="Q284" s="21" t="str">
        <f aca="false">IF(OR('Campaign Overview'!A124="",M284=0),"",P284/M284)</f>
        <v/>
      </c>
    </row>
    <row r="285" customFormat="false" ht="15" hidden="false" customHeight="false" outlineLevel="0" collapsed="false">
      <c r="K285" s="0" t="str">
        <f aca="false">IF('Campaign Overview'!A125="","",'Campaign Overview'!A125)</f>
        <v/>
      </c>
      <c r="L285" s="0" t="str">
        <f aca="false">IF('Campaign Overview'!A125="","",'Campaign Overview'!B125)</f>
        <v/>
      </c>
      <c r="M285" s="0" t="str">
        <f aca="false">IF('Campaign Overview'!A125="","",COUNTIFS('Raw SmartLead Replies'!A:A,'Campaign Overview'!A125))</f>
        <v/>
      </c>
      <c r="N285" s="0" t="str">
        <f aca="false">IF('Campaign Overview'!A125="","",COUNTIFS('Raw SmartLead Replies'!A:A,'Campaign Overview'!A125,'Raw SmartLead Replies'!G:G,"Interested"))</f>
        <v/>
      </c>
      <c r="O285" s="0" t="str">
        <f aca="false">IF('Campaign Overview'!A125="","",COUNTIFS('Raw GHL Data'!C:C,'Campaign Overview'!A125,'Raw GHL Data'!E:E,"&lt;&gt;"))</f>
        <v/>
      </c>
      <c r="P285" s="0" t="str">
        <f aca="false">IF('Campaign Overview'!A125="","",COUNTIFS('Raw GHL Data'!C:C,'Campaign Overview'!A125,'Raw GHL Data'!H:H,"&lt;&gt;"))</f>
        <v/>
      </c>
      <c r="Q285" s="21" t="str">
        <f aca="false">IF(OR('Campaign Overview'!A125="",M285=0),"",P285/M285)</f>
        <v/>
      </c>
    </row>
    <row r="286" customFormat="false" ht="15" hidden="false" customHeight="false" outlineLevel="0" collapsed="false">
      <c r="K286" s="0" t="str">
        <f aca="false">IF('Campaign Overview'!A126="","",'Campaign Overview'!A126)</f>
        <v/>
      </c>
      <c r="L286" s="0" t="str">
        <f aca="false">IF('Campaign Overview'!A126="","",'Campaign Overview'!B126)</f>
        <v/>
      </c>
      <c r="M286" s="0" t="str">
        <f aca="false">IF('Campaign Overview'!A126="","",COUNTIFS('Raw SmartLead Replies'!A:A,'Campaign Overview'!A126))</f>
        <v/>
      </c>
      <c r="N286" s="0" t="str">
        <f aca="false">IF('Campaign Overview'!A126="","",COUNTIFS('Raw SmartLead Replies'!A:A,'Campaign Overview'!A126,'Raw SmartLead Replies'!G:G,"Interested"))</f>
        <v/>
      </c>
      <c r="O286" s="0" t="str">
        <f aca="false">IF('Campaign Overview'!A126="","",COUNTIFS('Raw GHL Data'!C:C,'Campaign Overview'!A126,'Raw GHL Data'!E:E,"&lt;&gt;"))</f>
        <v/>
      </c>
      <c r="P286" s="0" t="str">
        <f aca="false">IF('Campaign Overview'!A126="","",COUNTIFS('Raw GHL Data'!C:C,'Campaign Overview'!A126,'Raw GHL Data'!H:H,"&lt;&gt;"))</f>
        <v/>
      </c>
      <c r="Q286" s="21" t="str">
        <f aca="false">IF(OR('Campaign Overview'!A126="",M286=0),"",P286/M286)</f>
        <v/>
      </c>
    </row>
    <row r="287" customFormat="false" ht="15" hidden="false" customHeight="false" outlineLevel="0" collapsed="false">
      <c r="K287" s="0" t="str">
        <f aca="false">IF('Campaign Overview'!A127="","",'Campaign Overview'!A127)</f>
        <v/>
      </c>
      <c r="L287" s="0" t="str">
        <f aca="false">IF('Campaign Overview'!A127="","",'Campaign Overview'!B127)</f>
        <v/>
      </c>
      <c r="M287" s="0" t="str">
        <f aca="false">IF('Campaign Overview'!A127="","",COUNTIFS('Raw SmartLead Replies'!A:A,'Campaign Overview'!A127))</f>
        <v/>
      </c>
      <c r="N287" s="0" t="str">
        <f aca="false">IF('Campaign Overview'!A127="","",COUNTIFS('Raw SmartLead Replies'!A:A,'Campaign Overview'!A127,'Raw SmartLead Replies'!G:G,"Interested"))</f>
        <v/>
      </c>
      <c r="O287" s="0" t="str">
        <f aca="false">IF('Campaign Overview'!A127="","",COUNTIFS('Raw GHL Data'!C:C,'Campaign Overview'!A127,'Raw GHL Data'!E:E,"&lt;&gt;"))</f>
        <v/>
      </c>
      <c r="P287" s="0" t="str">
        <f aca="false">IF('Campaign Overview'!A127="","",COUNTIFS('Raw GHL Data'!C:C,'Campaign Overview'!A127,'Raw GHL Data'!H:H,"&lt;&gt;"))</f>
        <v/>
      </c>
      <c r="Q287" s="21" t="str">
        <f aca="false">IF(OR('Campaign Overview'!A127="",M287=0),"",P287/M287)</f>
        <v/>
      </c>
    </row>
    <row r="288" customFormat="false" ht="15" hidden="false" customHeight="false" outlineLevel="0" collapsed="false">
      <c r="K288" s="0" t="str">
        <f aca="false">IF('Campaign Overview'!A128="","",'Campaign Overview'!A128)</f>
        <v/>
      </c>
      <c r="L288" s="0" t="str">
        <f aca="false">IF('Campaign Overview'!A128="","",'Campaign Overview'!B128)</f>
        <v/>
      </c>
      <c r="M288" s="0" t="str">
        <f aca="false">IF('Campaign Overview'!A128="","",COUNTIFS('Raw SmartLead Replies'!A:A,'Campaign Overview'!A128))</f>
        <v/>
      </c>
      <c r="N288" s="0" t="str">
        <f aca="false">IF('Campaign Overview'!A128="","",COUNTIFS('Raw SmartLead Replies'!A:A,'Campaign Overview'!A128,'Raw SmartLead Replies'!G:G,"Interested"))</f>
        <v/>
      </c>
      <c r="O288" s="0" t="str">
        <f aca="false">IF('Campaign Overview'!A128="","",COUNTIFS('Raw GHL Data'!C:C,'Campaign Overview'!A128,'Raw GHL Data'!E:E,"&lt;&gt;"))</f>
        <v/>
      </c>
      <c r="P288" s="0" t="str">
        <f aca="false">IF('Campaign Overview'!A128="","",COUNTIFS('Raw GHL Data'!C:C,'Campaign Overview'!A128,'Raw GHL Data'!H:H,"&lt;&gt;"))</f>
        <v/>
      </c>
      <c r="Q288" s="21" t="str">
        <f aca="false">IF(OR('Campaign Overview'!A128="",M288=0),"",P288/M288)</f>
        <v/>
      </c>
    </row>
    <row r="289" customFormat="false" ht="15" hidden="false" customHeight="false" outlineLevel="0" collapsed="false">
      <c r="K289" s="0" t="str">
        <f aca="false">IF('Campaign Overview'!A129="","",'Campaign Overview'!A129)</f>
        <v/>
      </c>
      <c r="L289" s="0" t="str">
        <f aca="false">IF('Campaign Overview'!A129="","",'Campaign Overview'!B129)</f>
        <v/>
      </c>
      <c r="M289" s="0" t="str">
        <f aca="false">IF('Campaign Overview'!A129="","",COUNTIFS('Raw SmartLead Replies'!A:A,'Campaign Overview'!A129))</f>
        <v/>
      </c>
      <c r="N289" s="0" t="str">
        <f aca="false">IF('Campaign Overview'!A129="","",COUNTIFS('Raw SmartLead Replies'!A:A,'Campaign Overview'!A129,'Raw SmartLead Replies'!G:G,"Interested"))</f>
        <v/>
      </c>
      <c r="O289" s="0" t="str">
        <f aca="false">IF('Campaign Overview'!A129="","",COUNTIFS('Raw GHL Data'!C:C,'Campaign Overview'!A129,'Raw GHL Data'!E:E,"&lt;&gt;"))</f>
        <v/>
      </c>
      <c r="P289" s="0" t="str">
        <f aca="false">IF('Campaign Overview'!A129="","",COUNTIFS('Raw GHL Data'!C:C,'Campaign Overview'!A129,'Raw GHL Data'!H:H,"&lt;&gt;"))</f>
        <v/>
      </c>
      <c r="Q289" s="21" t="str">
        <f aca="false">IF(OR('Campaign Overview'!A129="",M289=0),"",P289/M289)</f>
        <v/>
      </c>
    </row>
    <row r="290" customFormat="false" ht="15" hidden="false" customHeight="false" outlineLevel="0" collapsed="false">
      <c r="K290" s="0" t="str">
        <f aca="false">IF('Campaign Overview'!A130="","",'Campaign Overview'!A130)</f>
        <v/>
      </c>
      <c r="L290" s="0" t="str">
        <f aca="false">IF('Campaign Overview'!A130="","",'Campaign Overview'!B130)</f>
        <v/>
      </c>
      <c r="M290" s="0" t="str">
        <f aca="false">IF('Campaign Overview'!A130="","",COUNTIFS('Raw SmartLead Replies'!A:A,'Campaign Overview'!A130))</f>
        <v/>
      </c>
      <c r="N290" s="0" t="str">
        <f aca="false">IF('Campaign Overview'!A130="","",COUNTIFS('Raw SmartLead Replies'!A:A,'Campaign Overview'!A130,'Raw SmartLead Replies'!G:G,"Interested"))</f>
        <v/>
      </c>
      <c r="O290" s="0" t="str">
        <f aca="false">IF('Campaign Overview'!A130="","",COUNTIFS('Raw GHL Data'!C:C,'Campaign Overview'!A130,'Raw GHL Data'!E:E,"&lt;&gt;"))</f>
        <v/>
      </c>
      <c r="P290" s="0" t="str">
        <f aca="false">IF('Campaign Overview'!A130="","",COUNTIFS('Raw GHL Data'!C:C,'Campaign Overview'!A130,'Raw GHL Data'!H:H,"&lt;&gt;"))</f>
        <v/>
      </c>
      <c r="Q290" s="21" t="str">
        <f aca="false">IF(OR('Campaign Overview'!A130="",M290=0),"",P290/M290)</f>
        <v/>
      </c>
    </row>
    <row r="291" customFormat="false" ht="15" hidden="false" customHeight="false" outlineLevel="0" collapsed="false">
      <c r="K291" s="0" t="str">
        <f aca="false">IF('Campaign Overview'!A131="","",'Campaign Overview'!A131)</f>
        <v/>
      </c>
      <c r="L291" s="0" t="str">
        <f aca="false">IF('Campaign Overview'!A131="","",'Campaign Overview'!B131)</f>
        <v/>
      </c>
      <c r="M291" s="0" t="str">
        <f aca="false">IF('Campaign Overview'!A131="","",COUNTIFS('Raw SmartLead Replies'!A:A,'Campaign Overview'!A131))</f>
        <v/>
      </c>
      <c r="N291" s="0" t="str">
        <f aca="false">IF('Campaign Overview'!A131="","",COUNTIFS('Raw SmartLead Replies'!A:A,'Campaign Overview'!A131,'Raw SmartLead Replies'!G:G,"Interested"))</f>
        <v/>
      </c>
      <c r="O291" s="0" t="str">
        <f aca="false">IF('Campaign Overview'!A131="","",COUNTIFS('Raw GHL Data'!C:C,'Campaign Overview'!A131,'Raw GHL Data'!E:E,"&lt;&gt;"))</f>
        <v/>
      </c>
      <c r="P291" s="0" t="str">
        <f aca="false">IF('Campaign Overview'!A131="","",COUNTIFS('Raw GHL Data'!C:C,'Campaign Overview'!A131,'Raw GHL Data'!H:H,"&lt;&gt;"))</f>
        <v/>
      </c>
      <c r="Q291" s="21" t="str">
        <f aca="false">IF(OR('Campaign Overview'!A131="",M291=0),"",P291/M291)</f>
        <v/>
      </c>
    </row>
    <row r="292" customFormat="false" ht="15" hidden="false" customHeight="false" outlineLevel="0" collapsed="false">
      <c r="K292" s="0" t="str">
        <f aca="false">IF('Campaign Overview'!A132="","",'Campaign Overview'!A132)</f>
        <v/>
      </c>
      <c r="L292" s="0" t="str">
        <f aca="false">IF('Campaign Overview'!A132="","",'Campaign Overview'!B132)</f>
        <v/>
      </c>
      <c r="M292" s="0" t="str">
        <f aca="false">IF('Campaign Overview'!A132="","",COUNTIFS('Raw SmartLead Replies'!A:A,'Campaign Overview'!A132))</f>
        <v/>
      </c>
      <c r="N292" s="0" t="str">
        <f aca="false">IF('Campaign Overview'!A132="","",COUNTIFS('Raw SmartLead Replies'!A:A,'Campaign Overview'!A132,'Raw SmartLead Replies'!G:G,"Interested"))</f>
        <v/>
      </c>
      <c r="O292" s="0" t="str">
        <f aca="false">IF('Campaign Overview'!A132="","",COUNTIFS('Raw GHL Data'!C:C,'Campaign Overview'!A132,'Raw GHL Data'!E:E,"&lt;&gt;"))</f>
        <v/>
      </c>
      <c r="P292" s="0" t="str">
        <f aca="false">IF('Campaign Overview'!A132="","",COUNTIFS('Raw GHL Data'!C:C,'Campaign Overview'!A132,'Raw GHL Data'!H:H,"&lt;&gt;"))</f>
        <v/>
      </c>
      <c r="Q292" s="21" t="str">
        <f aca="false">IF(OR('Campaign Overview'!A132="",M292=0),"",P292/M292)</f>
        <v/>
      </c>
    </row>
    <row r="293" customFormat="false" ht="15" hidden="false" customHeight="false" outlineLevel="0" collapsed="false">
      <c r="K293" s="0" t="str">
        <f aca="false">IF('Campaign Overview'!A133="","",'Campaign Overview'!A133)</f>
        <v/>
      </c>
      <c r="L293" s="0" t="str">
        <f aca="false">IF('Campaign Overview'!A133="","",'Campaign Overview'!B133)</f>
        <v/>
      </c>
      <c r="M293" s="0" t="str">
        <f aca="false">IF('Campaign Overview'!A133="","",COUNTIFS('Raw SmartLead Replies'!A:A,'Campaign Overview'!A133))</f>
        <v/>
      </c>
      <c r="N293" s="0" t="str">
        <f aca="false">IF('Campaign Overview'!A133="","",COUNTIFS('Raw SmartLead Replies'!A:A,'Campaign Overview'!A133,'Raw SmartLead Replies'!G:G,"Interested"))</f>
        <v/>
      </c>
      <c r="O293" s="0" t="str">
        <f aca="false">IF('Campaign Overview'!A133="","",COUNTIFS('Raw GHL Data'!C:C,'Campaign Overview'!A133,'Raw GHL Data'!E:E,"&lt;&gt;"))</f>
        <v/>
      </c>
      <c r="P293" s="0" t="str">
        <f aca="false">IF('Campaign Overview'!A133="","",COUNTIFS('Raw GHL Data'!C:C,'Campaign Overview'!A133,'Raw GHL Data'!H:H,"&lt;&gt;"))</f>
        <v/>
      </c>
      <c r="Q293" s="21" t="str">
        <f aca="false">IF(OR('Campaign Overview'!A133="",M293=0),"",P293/M293)</f>
        <v/>
      </c>
    </row>
    <row r="294" customFormat="false" ht="15" hidden="false" customHeight="false" outlineLevel="0" collapsed="false">
      <c r="K294" s="0" t="str">
        <f aca="false">IF('Campaign Overview'!A134="","",'Campaign Overview'!A134)</f>
        <v/>
      </c>
      <c r="L294" s="0" t="str">
        <f aca="false">IF('Campaign Overview'!A134="","",'Campaign Overview'!B134)</f>
        <v/>
      </c>
      <c r="M294" s="0" t="str">
        <f aca="false">IF('Campaign Overview'!A134="","",COUNTIFS('Raw SmartLead Replies'!A:A,'Campaign Overview'!A134))</f>
        <v/>
      </c>
      <c r="N294" s="0" t="str">
        <f aca="false">IF('Campaign Overview'!A134="","",COUNTIFS('Raw SmartLead Replies'!A:A,'Campaign Overview'!A134,'Raw SmartLead Replies'!G:G,"Interested"))</f>
        <v/>
      </c>
      <c r="O294" s="0" t="str">
        <f aca="false">IF('Campaign Overview'!A134="","",COUNTIFS('Raw GHL Data'!C:C,'Campaign Overview'!A134,'Raw GHL Data'!E:E,"&lt;&gt;"))</f>
        <v/>
      </c>
      <c r="P294" s="0" t="str">
        <f aca="false">IF('Campaign Overview'!A134="","",COUNTIFS('Raw GHL Data'!C:C,'Campaign Overview'!A134,'Raw GHL Data'!H:H,"&lt;&gt;"))</f>
        <v/>
      </c>
      <c r="Q294" s="21" t="str">
        <f aca="false">IF(OR('Campaign Overview'!A134="",M294=0),"",P294/M294)</f>
        <v/>
      </c>
    </row>
    <row r="295" customFormat="false" ht="15" hidden="false" customHeight="false" outlineLevel="0" collapsed="false">
      <c r="K295" s="0" t="str">
        <f aca="false">IF('Campaign Overview'!A135="","",'Campaign Overview'!A135)</f>
        <v/>
      </c>
      <c r="L295" s="0" t="str">
        <f aca="false">IF('Campaign Overview'!A135="","",'Campaign Overview'!B135)</f>
        <v/>
      </c>
      <c r="M295" s="0" t="str">
        <f aca="false">IF('Campaign Overview'!A135="","",COUNTIFS('Raw SmartLead Replies'!A:A,'Campaign Overview'!A135))</f>
        <v/>
      </c>
      <c r="N295" s="0" t="str">
        <f aca="false">IF('Campaign Overview'!A135="","",COUNTIFS('Raw SmartLead Replies'!A:A,'Campaign Overview'!A135,'Raw SmartLead Replies'!G:G,"Interested"))</f>
        <v/>
      </c>
      <c r="O295" s="0" t="str">
        <f aca="false">IF('Campaign Overview'!A135="","",COUNTIFS('Raw GHL Data'!C:C,'Campaign Overview'!A135,'Raw GHL Data'!E:E,"&lt;&gt;"))</f>
        <v/>
      </c>
      <c r="P295" s="0" t="str">
        <f aca="false">IF('Campaign Overview'!A135="","",COUNTIFS('Raw GHL Data'!C:C,'Campaign Overview'!A135,'Raw GHL Data'!H:H,"&lt;&gt;"))</f>
        <v/>
      </c>
      <c r="Q295" s="21" t="str">
        <f aca="false">IF(OR('Campaign Overview'!A135="",M295=0),"",P295/M295)</f>
        <v/>
      </c>
    </row>
    <row r="296" customFormat="false" ht="15" hidden="false" customHeight="false" outlineLevel="0" collapsed="false">
      <c r="K296" s="0" t="str">
        <f aca="false">IF('Campaign Overview'!A136="","",'Campaign Overview'!A136)</f>
        <v/>
      </c>
      <c r="L296" s="0" t="str">
        <f aca="false">IF('Campaign Overview'!A136="","",'Campaign Overview'!B136)</f>
        <v/>
      </c>
      <c r="M296" s="0" t="str">
        <f aca="false">IF('Campaign Overview'!A136="","",COUNTIFS('Raw SmartLead Replies'!A:A,'Campaign Overview'!A136))</f>
        <v/>
      </c>
      <c r="N296" s="0" t="str">
        <f aca="false">IF('Campaign Overview'!A136="","",COUNTIFS('Raw SmartLead Replies'!A:A,'Campaign Overview'!A136,'Raw SmartLead Replies'!G:G,"Interested"))</f>
        <v/>
      </c>
      <c r="O296" s="0" t="str">
        <f aca="false">IF('Campaign Overview'!A136="","",COUNTIFS('Raw GHL Data'!C:C,'Campaign Overview'!A136,'Raw GHL Data'!E:E,"&lt;&gt;"))</f>
        <v/>
      </c>
      <c r="P296" s="0" t="str">
        <f aca="false">IF('Campaign Overview'!A136="","",COUNTIFS('Raw GHL Data'!C:C,'Campaign Overview'!A136,'Raw GHL Data'!H:H,"&lt;&gt;"))</f>
        <v/>
      </c>
      <c r="Q296" s="21" t="str">
        <f aca="false">IF(OR('Campaign Overview'!A136="",M296=0),"",P296/M296)</f>
        <v/>
      </c>
    </row>
    <row r="297" customFormat="false" ht="15" hidden="false" customHeight="false" outlineLevel="0" collapsed="false">
      <c r="K297" s="0" t="str">
        <f aca="false">IF('Campaign Overview'!A137="","",'Campaign Overview'!A137)</f>
        <v/>
      </c>
      <c r="L297" s="0" t="str">
        <f aca="false">IF('Campaign Overview'!A137="","",'Campaign Overview'!B137)</f>
        <v/>
      </c>
      <c r="M297" s="0" t="str">
        <f aca="false">IF('Campaign Overview'!A137="","",COUNTIFS('Raw SmartLead Replies'!A:A,'Campaign Overview'!A137))</f>
        <v/>
      </c>
      <c r="N297" s="0" t="str">
        <f aca="false">IF('Campaign Overview'!A137="","",COUNTIFS('Raw SmartLead Replies'!A:A,'Campaign Overview'!A137,'Raw SmartLead Replies'!G:G,"Interested"))</f>
        <v/>
      </c>
      <c r="O297" s="0" t="str">
        <f aca="false">IF('Campaign Overview'!A137="","",COUNTIFS('Raw GHL Data'!C:C,'Campaign Overview'!A137,'Raw GHL Data'!E:E,"&lt;&gt;"))</f>
        <v/>
      </c>
      <c r="P297" s="0" t="str">
        <f aca="false">IF('Campaign Overview'!A137="","",COUNTIFS('Raw GHL Data'!C:C,'Campaign Overview'!A137,'Raw GHL Data'!H:H,"&lt;&gt;"))</f>
        <v/>
      </c>
      <c r="Q297" s="21" t="str">
        <f aca="false">IF(OR('Campaign Overview'!A137="",M297=0),"",P297/M297)</f>
        <v/>
      </c>
    </row>
    <row r="298" customFormat="false" ht="15" hidden="false" customHeight="false" outlineLevel="0" collapsed="false">
      <c r="K298" s="0" t="str">
        <f aca="false">IF('Campaign Overview'!A138="","",'Campaign Overview'!A138)</f>
        <v/>
      </c>
      <c r="L298" s="0" t="str">
        <f aca="false">IF('Campaign Overview'!A138="","",'Campaign Overview'!B138)</f>
        <v/>
      </c>
      <c r="M298" s="0" t="str">
        <f aca="false">IF('Campaign Overview'!A138="","",COUNTIFS('Raw SmartLead Replies'!A:A,'Campaign Overview'!A138))</f>
        <v/>
      </c>
      <c r="N298" s="0" t="str">
        <f aca="false">IF('Campaign Overview'!A138="","",COUNTIFS('Raw SmartLead Replies'!A:A,'Campaign Overview'!A138,'Raw SmartLead Replies'!G:G,"Interested"))</f>
        <v/>
      </c>
      <c r="O298" s="0" t="str">
        <f aca="false">IF('Campaign Overview'!A138="","",COUNTIFS('Raw GHL Data'!C:C,'Campaign Overview'!A138,'Raw GHL Data'!E:E,"&lt;&gt;"))</f>
        <v/>
      </c>
      <c r="P298" s="0" t="str">
        <f aca="false">IF('Campaign Overview'!A138="","",COUNTIFS('Raw GHL Data'!C:C,'Campaign Overview'!A138,'Raw GHL Data'!H:H,"&lt;&gt;"))</f>
        <v/>
      </c>
      <c r="Q298" s="21" t="str">
        <f aca="false">IF(OR('Campaign Overview'!A138="",M298=0),"",P298/M298)</f>
        <v/>
      </c>
    </row>
    <row r="299" customFormat="false" ht="15" hidden="false" customHeight="false" outlineLevel="0" collapsed="false">
      <c r="K299" s="0" t="str">
        <f aca="false">IF('Campaign Overview'!A139="","",'Campaign Overview'!A139)</f>
        <v/>
      </c>
      <c r="L299" s="0" t="str">
        <f aca="false">IF('Campaign Overview'!A139="","",'Campaign Overview'!B139)</f>
        <v/>
      </c>
      <c r="M299" s="0" t="str">
        <f aca="false">IF('Campaign Overview'!A139="","",COUNTIFS('Raw SmartLead Replies'!A:A,'Campaign Overview'!A139))</f>
        <v/>
      </c>
      <c r="N299" s="0" t="str">
        <f aca="false">IF('Campaign Overview'!A139="","",COUNTIFS('Raw SmartLead Replies'!A:A,'Campaign Overview'!A139,'Raw SmartLead Replies'!G:G,"Interested"))</f>
        <v/>
      </c>
      <c r="O299" s="0" t="str">
        <f aca="false">IF('Campaign Overview'!A139="","",COUNTIFS('Raw GHL Data'!C:C,'Campaign Overview'!A139,'Raw GHL Data'!E:E,"&lt;&gt;"))</f>
        <v/>
      </c>
      <c r="P299" s="0" t="str">
        <f aca="false">IF('Campaign Overview'!A139="","",COUNTIFS('Raw GHL Data'!C:C,'Campaign Overview'!A139,'Raw GHL Data'!H:H,"&lt;&gt;"))</f>
        <v/>
      </c>
      <c r="Q299" s="21" t="str">
        <f aca="false">IF(OR('Campaign Overview'!A139="",M299=0),"",P299/M299)</f>
        <v/>
      </c>
    </row>
    <row r="300" customFormat="false" ht="15" hidden="false" customHeight="false" outlineLevel="0" collapsed="false">
      <c r="K300" s="0" t="str">
        <f aca="false">IF('Campaign Overview'!A140="","",'Campaign Overview'!A140)</f>
        <v/>
      </c>
      <c r="L300" s="0" t="str">
        <f aca="false">IF('Campaign Overview'!A140="","",'Campaign Overview'!B140)</f>
        <v/>
      </c>
      <c r="M300" s="0" t="str">
        <f aca="false">IF('Campaign Overview'!A140="","",COUNTIFS('Raw SmartLead Replies'!A:A,'Campaign Overview'!A140))</f>
        <v/>
      </c>
      <c r="N300" s="0" t="str">
        <f aca="false">IF('Campaign Overview'!A140="","",COUNTIFS('Raw SmartLead Replies'!A:A,'Campaign Overview'!A140,'Raw SmartLead Replies'!G:G,"Interested"))</f>
        <v/>
      </c>
      <c r="O300" s="0" t="str">
        <f aca="false">IF('Campaign Overview'!A140="","",COUNTIFS('Raw GHL Data'!C:C,'Campaign Overview'!A140,'Raw GHL Data'!E:E,"&lt;&gt;"))</f>
        <v/>
      </c>
      <c r="P300" s="0" t="str">
        <f aca="false">IF('Campaign Overview'!A140="","",COUNTIFS('Raw GHL Data'!C:C,'Campaign Overview'!A140,'Raw GHL Data'!H:H,"&lt;&gt;"))</f>
        <v/>
      </c>
      <c r="Q300" s="21" t="str">
        <f aca="false">IF(OR('Campaign Overview'!A140="",M300=0),"",P300/M300)</f>
        <v/>
      </c>
    </row>
    <row r="301" customFormat="false" ht="15" hidden="false" customHeight="false" outlineLevel="0" collapsed="false">
      <c r="K301" s="0" t="str">
        <f aca="false">IF('Campaign Overview'!A141="","",'Campaign Overview'!A141)</f>
        <v/>
      </c>
      <c r="L301" s="0" t="str">
        <f aca="false">IF('Campaign Overview'!A141="","",'Campaign Overview'!B141)</f>
        <v/>
      </c>
      <c r="M301" s="0" t="str">
        <f aca="false">IF('Campaign Overview'!A141="","",COUNTIFS('Raw SmartLead Replies'!A:A,'Campaign Overview'!A141))</f>
        <v/>
      </c>
      <c r="N301" s="0" t="str">
        <f aca="false">IF('Campaign Overview'!A141="","",COUNTIFS('Raw SmartLead Replies'!A:A,'Campaign Overview'!A141,'Raw SmartLead Replies'!G:G,"Interested"))</f>
        <v/>
      </c>
      <c r="O301" s="0" t="str">
        <f aca="false">IF('Campaign Overview'!A141="","",COUNTIFS('Raw GHL Data'!C:C,'Campaign Overview'!A141,'Raw GHL Data'!E:E,"&lt;&gt;"))</f>
        <v/>
      </c>
      <c r="P301" s="0" t="str">
        <f aca="false">IF('Campaign Overview'!A141="","",COUNTIFS('Raw GHL Data'!C:C,'Campaign Overview'!A141,'Raw GHL Data'!H:H,"&lt;&gt;"))</f>
        <v/>
      </c>
      <c r="Q301" s="21" t="str">
        <f aca="false">IF(OR('Campaign Overview'!A141="",M301=0),"",P301/M301)</f>
        <v/>
      </c>
    </row>
    <row r="302" customFormat="false" ht="15" hidden="false" customHeight="false" outlineLevel="0" collapsed="false">
      <c r="K302" s="0" t="str">
        <f aca="false">IF('Campaign Overview'!A142="","",'Campaign Overview'!A142)</f>
        <v/>
      </c>
      <c r="L302" s="0" t="str">
        <f aca="false">IF('Campaign Overview'!A142="","",'Campaign Overview'!B142)</f>
        <v/>
      </c>
      <c r="M302" s="0" t="str">
        <f aca="false">IF('Campaign Overview'!A142="","",COUNTIFS('Raw SmartLead Replies'!A:A,'Campaign Overview'!A142))</f>
        <v/>
      </c>
      <c r="N302" s="0" t="str">
        <f aca="false">IF('Campaign Overview'!A142="","",COUNTIFS('Raw SmartLead Replies'!A:A,'Campaign Overview'!A142,'Raw SmartLead Replies'!G:G,"Interested"))</f>
        <v/>
      </c>
      <c r="O302" s="0" t="str">
        <f aca="false">IF('Campaign Overview'!A142="","",COUNTIFS('Raw GHL Data'!C:C,'Campaign Overview'!A142,'Raw GHL Data'!E:E,"&lt;&gt;"))</f>
        <v/>
      </c>
      <c r="P302" s="0" t="str">
        <f aca="false">IF('Campaign Overview'!A142="","",COUNTIFS('Raw GHL Data'!C:C,'Campaign Overview'!A142,'Raw GHL Data'!H:H,"&lt;&gt;"))</f>
        <v/>
      </c>
      <c r="Q302" s="21" t="str">
        <f aca="false">IF(OR('Campaign Overview'!A142="",M302=0),"",P302/M302)</f>
        <v/>
      </c>
    </row>
    <row r="303" customFormat="false" ht="15" hidden="false" customHeight="false" outlineLevel="0" collapsed="false">
      <c r="K303" s="0" t="str">
        <f aca="false">IF('Campaign Overview'!A143="","",'Campaign Overview'!A143)</f>
        <v/>
      </c>
      <c r="L303" s="0" t="str">
        <f aca="false">IF('Campaign Overview'!A143="","",'Campaign Overview'!B143)</f>
        <v/>
      </c>
      <c r="M303" s="0" t="str">
        <f aca="false">IF('Campaign Overview'!A143="","",COUNTIFS('Raw SmartLead Replies'!A:A,'Campaign Overview'!A143))</f>
        <v/>
      </c>
      <c r="N303" s="0" t="str">
        <f aca="false">IF('Campaign Overview'!A143="","",COUNTIFS('Raw SmartLead Replies'!A:A,'Campaign Overview'!A143,'Raw SmartLead Replies'!G:G,"Interested"))</f>
        <v/>
      </c>
      <c r="O303" s="0" t="str">
        <f aca="false">IF('Campaign Overview'!A143="","",COUNTIFS('Raw GHL Data'!C:C,'Campaign Overview'!A143,'Raw GHL Data'!E:E,"&lt;&gt;"))</f>
        <v/>
      </c>
      <c r="P303" s="0" t="str">
        <f aca="false">IF('Campaign Overview'!A143="","",COUNTIFS('Raw GHL Data'!C:C,'Campaign Overview'!A143,'Raw GHL Data'!H:H,"&lt;&gt;"))</f>
        <v/>
      </c>
      <c r="Q303" s="21" t="str">
        <f aca="false">IF(OR('Campaign Overview'!A143="",M303=0),"",P303/M303)</f>
        <v/>
      </c>
    </row>
    <row r="304" customFormat="false" ht="15" hidden="false" customHeight="false" outlineLevel="0" collapsed="false">
      <c r="K304" s="0" t="str">
        <f aca="false">IF('Campaign Overview'!A144="","",'Campaign Overview'!A144)</f>
        <v/>
      </c>
      <c r="L304" s="0" t="str">
        <f aca="false">IF('Campaign Overview'!A144="","",'Campaign Overview'!B144)</f>
        <v/>
      </c>
      <c r="M304" s="0" t="str">
        <f aca="false">IF('Campaign Overview'!A144="","",COUNTIFS('Raw SmartLead Replies'!A:A,'Campaign Overview'!A144))</f>
        <v/>
      </c>
      <c r="N304" s="0" t="str">
        <f aca="false">IF('Campaign Overview'!A144="","",COUNTIFS('Raw SmartLead Replies'!A:A,'Campaign Overview'!A144,'Raw SmartLead Replies'!G:G,"Interested"))</f>
        <v/>
      </c>
      <c r="O304" s="0" t="str">
        <f aca="false">IF('Campaign Overview'!A144="","",COUNTIFS('Raw GHL Data'!C:C,'Campaign Overview'!A144,'Raw GHL Data'!E:E,"&lt;&gt;"))</f>
        <v/>
      </c>
      <c r="P304" s="0" t="str">
        <f aca="false">IF('Campaign Overview'!A144="","",COUNTIFS('Raw GHL Data'!C:C,'Campaign Overview'!A144,'Raw GHL Data'!H:H,"&lt;&gt;"))</f>
        <v/>
      </c>
      <c r="Q304" s="21" t="str">
        <f aca="false">IF(OR('Campaign Overview'!A144="",M304=0),"",P304/M304)</f>
        <v/>
      </c>
    </row>
    <row r="305" customFormat="false" ht="15" hidden="false" customHeight="false" outlineLevel="0" collapsed="false">
      <c r="K305" s="0" t="str">
        <f aca="false">IF('Campaign Overview'!A145="","",'Campaign Overview'!A145)</f>
        <v/>
      </c>
      <c r="L305" s="0" t="str">
        <f aca="false">IF('Campaign Overview'!A145="","",'Campaign Overview'!B145)</f>
        <v/>
      </c>
      <c r="M305" s="0" t="str">
        <f aca="false">IF('Campaign Overview'!A145="","",COUNTIFS('Raw SmartLead Replies'!A:A,'Campaign Overview'!A145))</f>
        <v/>
      </c>
      <c r="N305" s="0" t="str">
        <f aca="false">IF('Campaign Overview'!A145="","",COUNTIFS('Raw SmartLead Replies'!A:A,'Campaign Overview'!A145,'Raw SmartLead Replies'!G:G,"Interested"))</f>
        <v/>
      </c>
      <c r="O305" s="0" t="str">
        <f aca="false">IF('Campaign Overview'!A145="","",COUNTIFS('Raw GHL Data'!C:C,'Campaign Overview'!A145,'Raw GHL Data'!E:E,"&lt;&gt;"))</f>
        <v/>
      </c>
      <c r="P305" s="0" t="str">
        <f aca="false">IF('Campaign Overview'!A145="","",COUNTIFS('Raw GHL Data'!C:C,'Campaign Overview'!A145,'Raw GHL Data'!H:H,"&lt;&gt;"))</f>
        <v/>
      </c>
      <c r="Q305" s="21" t="str">
        <f aca="false">IF(OR('Campaign Overview'!A145="",M305=0),"",P305/M305)</f>
        <v/>
      </c>
    </row>
    <row r="306" customFormat="false" ht="15" hidden="false" customHeight="false" outlineLevel="0" collapsed="false">
      <c r="K306" s="0" t="str">
        <f aca="false">IF('Campaign Overview'!A146="","",'Campaign Overview'!A146)</f>
        <v/>
      </c>
      <c r="L306" s="0" t="str">
        <f aca="false">IF('Campaign Overview'!A146="","",'Campaign Overview'!B146)</f>
        <v/>
      </c>
      <c r="M306" s="0" t="str">
        <f aca="false">IF('Campaign Overview'!A146="","",COUNTIFS('Raw SmartLead Replies'!A:A,'Campaign Overview'!A146))</f>
        <v/>
      </c>
      <c r="N306" s="0" t="str">
        <f aca="false">IF('Campaign Overview'!A146="","",COUNTIFS('Raw SmartLead Replies'!A:A,'Campaign Overview'!A146,'Raw SmartLead Replies'!G:G,"Interested"))</f>
        <v/>
      </c>
      <c r="O306" s="0" t="str">
        <f aca="false">IF('Campaign Overview'!A146="","",COUNTIFS('Raw GHL Data'!C:C,'Campaign Overview'!A146,'Raw GHL Data'!E:E,"&lt;&gt;"))</f>
        <v/>
      </c>
      <c r="P306" s="0" t="str">
        <f aca="false">IF('Campaign Overview'!A146="","",COUNTIFS('Raw GHL Data'!C:C,'Campaign Overview'!A146,'Raw GHL Data'!H:H,"&lt;&gt;"))</f>
        <v/>
      </c>
      <c r="Q306" s="21" t="str">
        <f aca="false">IF(OR('Campaign Overview'!A146="",M306=0),"",P306/M306)</f>
        <v/>
      </c>
    </row>
    <row r="307" customFormat="false" ht="15" hidden="false" customHeight="false" outlineLevel="0" collapsed="false">
      <c r="K307" s="0" t="str">
        <f aca="false">IF('Campaign Overview'!A147="","",'Campaign Overview'!A147)</f>
        <v/>
      </c>
      <c r="L307" s="0" t="str">
        <f aca="false">IF('Campaign Overview'!A147="","",'Campaign Overview'!B147)</f>
        <v/>
      </c>
      <c r="M307" s="0" t="str">
        <f aca="false">IF('Campaign Overview'!A147="","",COUNTIFS('Raw SmartLead Replies'!A:A,'Campaign Overview'!A147))</f>
        <v/>
      </c>
      <c r="N307" s="0" t="str">
        <f aca="false">IF('Campaign Overview'!A147="","",COUNTIFS('Raw SmartLead Replies'!A:A,'Campaign Overview'!A147,'Raw SmartLead Replies'!G:G,"Interested"))</f>
        <v/>
      </c>
      <c r="O307" s="0" t="str">
        <f aca="false">IF('Campaign Overview'!A147="","",COUNTIFS('Raw GHL Data'!C:C,'Campaign Overview'!A147,'Raw GHL Data'!E:E,"&lt;&gt;"))</f>
        <v/>
      </c>
      <c r="P307" s="0" t="str">
        <f aca="false">IF('Campaign Overview'!A147="","",COUNTIFS('Raw GHL Data'!C:C,'Campaign Overview'!A147,'Raw GHL Data'!H:H,"&lt;&gt;"))</f>
        <v/>
      </c>
      <c r="Q307" s="21" t="str">
        <f aca="false">IF(OR('Campaign Overview'!A147="",M307=0),"",P307/M307)</f>
        <v/>
      </c>
    </row>
    <row r="308" customFormat="false" ht="15" hidden="false" customHeight="false" outlineLevel="0" collapsed="false">
      <c r="K308" s="0" t="str">
        <f aca="false">IF('Campaign Overview'!A148="","",'Campaign Overview'!A148)</f>
        <v/>
      </c>
      <c r="L308" s="0" t="str">
        <f aca="false">IF('Campaign Overview'!A148="","",'Campaign Overview'!B148)</f>
        <v/>
      </c>
      <c r="M308" s="0" t="str">
        <f aca="false">IF('Campaign Overview'!A148="","",COUNTIFS('Raw SmartLead Replies'!A:A,'Campaign Overview'!A148))</f>
        <v/>
      </c>
      <c r="N308" s="0" t="str">
        <f aca="false">IF('Campaign Overview'!A148="","",COUNTIFS('Raw SmartLead Replies'!A:A,'Campaign Overview'!A148,'Raw SmartLead Replies'!G:G,"Interested"))</f>
        <v/>
      </c>
      <c r="O308" s="0" t="str">
        <f aca="false">IF('Campaign Overview'!A148="","",COUNTIFS('Raw GHL Data'!C:C,'Campaign Overview'!A148,'Raw GHL Data'!E:E,"&lt;&gt;"))</f>
        <v/>
      </c>
      <c r="P308" s="0" t="str">
        <f aca="false">IF('Campaign Overview'!A148="","",COUNTIFS('Raw GHL Data'!C:C,'Campaign Overview'!A148,'Raw GHL Data'!H:H,"&lt;&gt;"))</f>
        <v/>
      </c>
      <c r="Q308" s="21" t="str">
        <f aca="false">IF(OR('Campaign Overview'!A148="",M308=0),"",P308/M308)</f>
        <v/>
      </c>
    </row>
    <row r="309" customFormat="false" ht="15" hidden="false" customHeight="false" outlineLevel="0" collapsed="false">
      <c r="K309" s="0" t="str">
        <f aca="false">IF('Campaign Overview'!A149="","",'Campaign Overview'!A149)</f>
        <v/>
      </c>
      <c r="L309" s="0" t="str">
        <f aca="false">IF('Campaign Overview'!A149="","",'Campaign Overview'!B149)</f>
        <v/>
      </c>
      <c r="M309" s="0" t="str">
        <f aca="false">IF('Campaign Overview'!A149="","",COUNTIFS('Raw SmartLead Replies'!A:A,'Campaign Overview'!A149))</f>
        <v/>
      </c>
      <c r="N309" s="0" t="str">
        <f aca="false">IF('Campaign Overview'!A149="","",COUNTIFS('Raw SmartLead Replies'!A:A,'Campaign Overview'!A149,'Raw SmartLead Replies'!G:G,"Interested"))</f>
        <v/>
      </c>
      <c r="O309" s="0" t="str">
        <f aca="false">IF('Campaign Overview'!A149="","",COUNTIFS('Raw GHL Data'!C:C,'Campaign Overview'!A149,'Raw GHL Data'!E:E,"&lt;&gt;"))</f>
        <v/>
      </c>
      <c r="P309" s="0" t="str">
        <f aca="false">IF('Campaign Overview'!A149="","",COUNTIFS('Raw GHL Data'!C:C,'Campaign Overview'!A149,'Raw GHL Data'!H:H,"&lt;&gt;"))</f>
        <v/>
      </c>
      <c r="Q309" s="21" t="str">
        <f aca="false">IF(OR('Campaign Overview'!A149="",M309=0),"",P309/M309)</f>
        <v/>
      </c>
    </row>
    <row r="310" customFormat="false" ht="15" hidden="false" customHeight="false" outlineLevel="0" collapsed="false">
      <c r="K310" s="0" t="str">
        <f aca="false">IF('Campaign Overview'!A150="","",'Campaign Overview'!A150)</f>
        <v/>
      </c>
      <c r="L310" s="0" t="str">
        <f aca="false">IF('Campaign Overview'!A150="","",'Campaign Overview'!B150)</f>
        <v/>
      </c>
      <c r="M310" s="0" t="str">
        <f aca="false">IF('Campaign Overview'!A150="","",COUNTIFS('Raw SmartLead Replies'!A:A,'Campaign Overview'!A150))</f>
        <v/>
      </c>
      <c r="N310" s="0" t="str">
        <f aca="false">IF('Campaign Overview'!A150="","",COUNTIFS('Raw SmartLead Replies'!A:A,'Campaign Overview'!A150,'Raw SmartLead Replies'!G:G,"Interested"))</f>
        <v/>
      </c>
      <c r="O310" s="0" t="str">
        <f aca="false">IF('Campaign Overview'!A150="","",COUNTIFS('Raw GHL Data'!C:C,'Campaign Overview'!A150,'Raw GHL Data'!E:E,"&lt;&gt;"))</f>
        <v/>
      </c>
      <c r="P310" s="0" t="str">
        <f aca="false">IF('Campaign Overview'!A150="","",COUNTIFS('Raw GHL Data'!C:C,'Campaign Overview'!A150,'Raw GHL Data'!H:H,"&lt;&gt;"))</f>
        <v/>
      </c>
      <c r="Q310" s="21" t="str">
        <f aca="false">IF(OR('Campaign Overview'!A150="",M310=0),"",P310/M310)</f>
        <v/>
      </c>
    </row>
    <row r="311" customFormat="false" ht="15" hidden="false" customHeight="false" outlineLevel="0" collapsed="false">
      <c r="K311" s="0" t="str">
        <f aca="false">IF('Campaign Overview'!A151="","",'Campaign Overview'!A151)</f>
        <v/>
      </c>
      <c r="L311" s="0" t="str">
        <f aca="false">IF('Campaign Overview'!A151="","",'Campaign Overview'!B151)</f>
        <v/>
      </c>
      <c r="M311" s="0" t="str">
        <f aca="false">IF('Campaign Overview'!A151="","",COUNTIFS('Raw SmartLead Replies'!A:A,'Campaign Overview'!A151))</f>
        <v/>
      </c>
      <c r="N311" s="0" t="str">
        <f aca="false">IF('Campaign Overview'!A151="","",COUNTIFS('Raw SmartLead Replies'!A:A,'Campaign Overview'!A151,'Raw SmartLead Replies'!G:G,"Interested"))</f>
        <v/>
      </c>
      <c r="O311" s="0" t="str">
        <f aca="false">IF('Campaign Overview'!A151="","",COUNTIFS('Raw GHL Data'!C:C,'Campaign Overview'!A151,'Raw GHL Data'!E:E,"&lt;&gt;"))</f>
        <v/>
      </c>
      <c r="P311" s="0" t="str">
        <f aca="false">IF('Campaign Overview'!A151="","",COUNTIFS('Raw GHL Data'!C:C,'Campaign Overview'!A151,'Raw GHL Data'!H:H,"&lt;&gt;"))</f>
        <v/>
      </c>
      <c r="Q311" s="21" t="str">
        <f aca="false">IF(OR('Campaign Overview'!A151="",M311=0),"",P311/M311)</f>
        <v/>
      </c>
    </row>
    <row r="312" customFormat="false" ht="15" hidden="false" customHeight="false" outlineLevel="0" collapsed="false">
      <c r="K312" s="0" t="str">
        <f aca="false">IF('Campaign Overview'!A152="","",'Campaign Overview'!A152)</f>
        <v/>
      </c>
      <c r="L312" s="0" t="str">
        <f aca="false">IF('Campaign Overview'!A152="","",'Campaign Overview'!B152)</f>
        <v/>
      </c>
      <c r="M312" s="0" t="str">
        <f aca="false">IF('Campaign Overview'!A152="","",COUNTIFS('Raw SmartLead Replies'!A:A,'Campaign Overview'!A152))</f>
        <v/>
      </c>
      <c r="N312" s="0" t="str">
        <f aca="false">IF('Campaign Overview'!A152="","",COUNTIFS('Raw SmartLead Replies'!A:A,'Campaign Overview'!A152,'Raw SmartLead Replies'!G:G,"Interested"))</f>
        <v/>
      </c>
      <c r="O312" s="0" t="str">
        <f aca="false">IF('Campaign Overview'!A152="","",COUNTIFS('Raw GHL Data'!C:C,'Campaign Overview'!A152,'Raw GHL Data'!E:E,"&lt;&gt;"))</f>
        <v/>
      </c>
      <c r="P312" s="0" t="str">
        <f aca="false">IF('Campaign Overview'!A152="","",COUNTIFS('Raw GHL Data'!C:C,'Campaign Overview'!A152,'Raw GHL Data'!H:H,"&lt;&gt;"))</f>
        <v/>
      </c>
      <c r="Q312" s="21" t="str">
        <f aca="false">IF(OR('Campaign Overview'!A152="",M312=0),"",P312/M312)</f>
        <v/>
      </c>
    </row>
    <row r="313" customFormat="false" ht="15" hidden="false" customHeight="false" outlineLevel="0" collapsed="false">
      <c r="K313" s="0" t="str">
        <f aca="false">IF('Campaign Overview'!A153="","",'Campaign Overview'!A153)</f>
        <v/>
      </c>
      <c r="L313" s="0" t="str">
        <f aca="false">IF('Campaign Overview'!A153="","",'Campaign Overview'!B153)</f>
        <v/>
      </c>
      <c r="M313" s="0" t="str">
        <f aca="false">IF('Campaign Overview'!A153="","",COUNTIFS('Raw SmartLead Replies'!A:A,'Campaign Overview'!A153))</f>
        <v/>
      </c>
      <c r="N313" s="0" t="str">
        <f aca="false">IF('Campaign Overview'!A153="","",COUNTIFS('Raw SmartLead Replies'!A:A,'Campaign Overview'!A153,'Raw SmartLead Replies'!G:G,"Interested"))</f>
        <v/>
      </c>
      <c r="O313" s="0" t="str">
        <f aca="false">IF('Campaign Overview'!A153="","",COUNTIFS('Raw GHL Data'!C:C,'Campaign Overview'!A153,'Raw GHL Data'!E:E,"&lt;&gt;"))</f>
        <v/>
      </c>
      <c r="P313" s="0" t="str">
        <f aca="false">IF('Campaign Overview'!A153="","",COUNTIFS('Raw GHL Data'!C:C,'Campaign Overview'!A153,'Raw GHL Data'!H:H,"&lt;&gt;"))</f>
        <v/>
      </c>
      <c r="Q313" s="21" t="str">
        <f aca="false">IF(OR('Campaign Overview'!A153="",M313=0),"",P313/M313)</f>
        <v/>
      </c>
    </row>
    <row r="314" customFormat="false" ht="15" hidden="false" customHeight="false" outlineLevel="0" collapsed="false">
      <c r="K314" s="0" t="str">
        <f aca="false">IF('Campaign Overview'!A154="","",'Campaign Overview'!A154)</f>
        <v/>
      </c>
      <c r="L314" s="0" t="str">
        <f aca="false">IF('Campaign Overview'!A154="","",'Campaign Overview'!B154)</f>
        <v/>
      </c>
      <c r="M314" s="0" t="str">
        <f aca="false">IF('Campaign Overview'!A154="","",COUNTIFS('Raw SmartLead Replies'!A:A,'Campaign Overview'!A154))</f>
        <v/>
      </c>
      <c r="N314" s="0" t="str">
        <f aca="false">IF('Campaign Overview'!A154="","",COUNTIFS('Raw SmartLead Replies'!A:A,'Campaign Overview'!A154,'Raw SmartLead Replies'!G:G,"Interested"))</f>
        <v/>
      </c>
      <c r="O314" s="0" t="str">
        <f aca="false">IF('Campaign Overview'!A154="","",COUNTIFS('Raw GHL Data'!C:C,'Campaign Overview'!A154,'Raw GHL Data'!E:E,"&lt;&gt;"))</f>
        <v/>
      </c>
      <c r="P314" s="0" t="str">
        <f aca="false">IF('Campaign Overview'!A154="","",COUNTIFS('Raw GHL Data'!C:C,'Campaign Overview'!A154,'Raw GHL Data'!H:H,"&lt;&gt;"))</f>
        <v/>
      </c>
      <c r="Q314" s="21" t="str">
        <f aca="false">IF(OR('Campaign Overview'!A154="",M314=0),"",P314/M314)</f>
        <v/>
      </c>
    </row>
    <row r="315" customFormat="false" ht="15" hidden="false" customHeight="false" outlineLevel="0" collapsed="false">
      <c r="K315" s="0" t="str">
        <f aca="false">IF('Campaign Overview'!A155="","",'Campaign Overview'!A155)</f>
        <v/>
      </c>
      <c r="L315" s="0" t="str">
        <f aca="false">IF('Campaign Overview'!A155="","",'Campaign Overview'!B155)</f>
        <v/>
      </c>
      <c r="M315" s="0" t="str">
        <f aca="false">IF('Campaign Overview'!A155="","",COUNTIFS('Raw SmartLead Replies'!A:A,'Campaign Overview'!A155))</f>
        <v/>
      </c>
      <c r="N315" s="0" t="str">
        <f aca="false">IF('Campaign Overview'!A155="","",COUNTIFS('Raw SmartLead Replies'!A:A,'Campaign Overview'!A155,'Raw SmartLead Replies'!G:G,"Interested"))</f>
        <v/>
      </c>
      <c r="O315" s="0" t="str">
        <f aca="false">IF('Campaign Overview'!A155="","",COUNTIFS('Raw GHL Data'!C:C,'Campaign Overview'!A155,'Raw GHL Data'!E:E,"&lt;&gt;"))</f>
        <v/>
      </c>
      <c r="P315" s="0" t="str">
        <f aca="false">IF('Campaign Overview'!A155="","",COUNTIFS('Raw GHL Data'!C:C,'Campaign Overview'!A155,'Raw GHL Data'!H:H,"&lt;&gt;"))</f>
        <v/>
      </c>
      <c r="Q315" s="21" t="str">
        <f aca="false">IF(OR('Campaign Overview'!A155="",M315=0),"",P315/M315)</f>
        <v/>
      </c>
    </row>
    <row r="316" customFormat="false" ht="15" hidden="false" customHeight="false" outlineLevel="0" collapsed="false">
      <c r="K316" s="0" t="str">
        <f aca="false">IF('Campaign Overview'!A156="","",'Campaign Overview'!A156)</f>
        <v/>
      </c>
      <c r="L316" s="0" t="str">
        <f aca="false">IF('Campaign Overview'!A156="","",'Campaign Overview'!B156)</f>
        <v/>
      </c>
      <c r="M316" s="0" t="str">
        <f aca="false">IF('Campaign Overview'!A156="","",COUNTIFS('Raw SmartLead Replies'!A:A,'Campaign Overview'!A156))</f>
        <v/>
      </c>
      <c r="N316" s="0" t="str">
        <f aca="false">IF('Campaign Overview'!A156="","",COUNTIFS('Raw SmartLead Replies'!A:A,'Campaign Overview'!A156,'Raw SmartLead Replies'!G:G,"Interested"))</f>
        <v/>
      </c>
      <c r="O316" s="0" t="str">
        <f aca="false">IF('Campaign Overview'!A156="","",COUNTIFS('Raw GHL Data'!C:C,'Campaign Overview'!A156,'Raw GHL Data'!E:E,"&lt;&gt;"))</f>
        <v/>
      </c>
      <c r="P316" s="0" t="str">
        <f aca="false">IF('Campaign Overview'!A156="","",COUNTIFS('Raw GHL Data'!C:C,'Campaign Overview'!A156,'Raw GHL Data'!H:H,"&lt;&gt;"))</f>
        <v/>
      </c>
      <c r="Q316" s="21" t="str">
        <f aca="false">IF(OR('Campaign Overview'!A156="",M316=0),"",P316/M316)</f>
        <v/>
      </c>
    </row>
    <row r="317" customFormat="false" ht="15" hidden="false" customHeight="false" outlineLevel="0" collapsed="false">
      <c r="K317" s="0" t="str">
        <f aca="false">IF('Campaign Overview'!A157="","",'Campaign Overview'!A157)</f>
        <v/>
      </c>
      <c r="L317" s="0" t="str">
        <f aca="false">IF('Campaign Overview'!A157="","",'Campaign Overview'!B157)</f>
        <v/>
      </c>
      <c r="M317" s="0" t="str">
        <f aca="false">IF('Campaign Overview'!A157="","",COUNTIFS('Raw SmartLead Replies'!A:A,'Campaign Overview'!A157))</f>
        <v/>
      </c>
      <c r="N317" s="0" t="str">
        <f aca="false">IF('Campaign Overview'!A157="","",COUNTIFS('Raw SmartLead Replies'!A:A,'Campaign Overview'!A157,'Raw SmartLead Replies'!G:G,"Interested"))</f>
        <v/>
      </c>
      <c r="O317" s="0" t="str">
        <f aca="false">IF('Campaign Overview'!A157="","",COUNTIFS('Raw GHL Data'!C:C,'Campaign Overview'!A157,'Raw GHL Data'!E:E,"&lt;&gt;"))</f>
        <v/>
      </c>
      <c r="P317" s="0" t="str">
        <f aca="false">IF('Campaign Overview'!A157="","",COUNTIFS('Raw GHL Data'!C:C,'Campaign Overview'!A157,'Raw GHL Data'!H:H,"&lt;&gt;"))</f>
        <v/>
      </c>
      <c r="Q317" s="21" t="str">
        <f aca="false">IF(OR('Campaign Overview'!A157="",M317=0),"",P317/M317)</f>
        <v/>
      </c>
    </row>
    <row r="318" customFormat="false" ht="15" hidden="false" customHeight="false" outlineLevel="0" collapsed="false">
      <c r="K318" s="0" t="str">
        <f aca="false">IF('Campaign Overview'!A158="","",'Campaign Overview'!A158)</f>
        <v/>
      </c>
      <c r="L318" s="0" t="str">
        <f aca="false">IF('Campaign Overview'!A158="","",'Campaign Overview'!B158)</f>
        <v/>
      </c>
      <c r="M318" s="0" t="str">
        <f aca="false">IF('Campaign Overview'!A158="","",COUNTIFS('Raw SmartLead Replies'!A:A,'Campaign Overview'!A158))</f>
        <v/>
      </c>
      <c r="N318" s="0" t="str">
        <f aca="false">IF('Campaign Overview'!A158="","",COUNTIFS('Raw SmartLead Replies'!A:A,'Campaign Overview'!A158,'Raw SmartLead Replies'!G:G,"Interested"))</f>
        <v/>
      </c>
      <c r="O318" s="0" t="str">
        <f aca="false">IF('Campaign Overview'!A158="","",COUNTIFS('Raw GHL Data'!C:C,'Campaign Overview'!A158,'Raw GHL Data'!E:E,"&lt;&gt;"))</f>
        <v/>
      </c>
      <c r="P318" s="0" t="str">
        <f aca="false">IF('Campaign Overview'!A158="","",COUNTIFS('Raw GHL Data'!C:C,'Campaign Overview'!A158,'Raw GHL Data'!H:H,"&lt;&gt;"))</f>
        <v/>
      </c>
      <c r="Q318" s="21" t="str">
        <f aca="false">IF(OR('Campaign Overview'!A158="",M318=0),"",P318/M318)</f>
        <v/>
      </c>
    </row>
    <row r="319" customFormat="false" ht="15" hidden="false" customHeight="false" outlineLevel="0" collapsed="false">
      <c r="K319" s="0" t="str">
        <f aca="false">IF('Campaign Overview'!A159="","",'Campaign Overview'!A159)</f>
        <v/>
      </c>
      <c r="L319" s="0" t="str">
        <f aca="false">IF('Campaign Overview'!A159="","",'Campaign Overview'!B159)</f>
        <v/>
      </c>
      <c r="M319" s="0" t="str">
        <f aca="false">IF('Campaign Overview'!A159="","",COUNTIFS('Raw SmartLead Replies'!A:A,'Campaign Overview'!A159))</f>
        <v/>
      </c>
      <c r="N319" s="0" t="str">
        <f aca="false">IF('Campaign Overview'!A159="","",COUNTIFS('Raw SmartLead Replies'!A:A,'Campaign Overview'!A159,'Raw SmartLead Replies'!G:G,"Interested"))</f>
        <v/>
      </c>
      <c r="O319" s="0" t="str">
        <f aca="false">IF('Campaign Overview'!A159="","",COUNTIFS('Raw GHL Data'!C:C,'Campaign Overview'!A159,'Raw GHL Data'!E:E,"&lt;&gt;"))</f>
        <v/>
      </c>
      <c r="P319" s="0" t="str">
        <f aca="false">IF('Campaign Overview'!A159="","",COUNTIFS('Raw GHL Data'!C:C,'Campaign Overview'!A159,'Raw GHL Data'!H:H,"&lt;&gt;"))</f>
        <v/>
      </c>
      <c r="Q319" s="21" t="str">
        <f aca="false">IF(OR('Campaign Overview'!A159="",M319=0),"",P319/M319)</f>
        <v/>
      </c>
    </row>
    <row r="320" customFormat="false" ht="15" hidden="false" customHeight="false" outlineLevel="0" collapsed="false">
      <c r="K320" s="0" t="str">
        <f aca="false">IF('Campaign Overview'!A160="","",'Campaign Overview'!A160)</f>
        <v/>
      </c>
      <c r="L320" s="0" t="str">
        <f aca="false">IF('Campaign Overview'!A160="","",'Campaign Overview'!B160)</f>
        <v/>
      </c>
      <c r="M320" s="0" t="str">
        <f aca="false">IF('Campaign Overview'!A160="","",COUNTIFS('Raw SmartLead Replies'!A:A,'Campaign Overview'!A160))</f>
        <v/>
      </c>
      <c r="N320" s="0" t="str">
        <f aca="false">IF('Campaign Overview'!A160="","",COUNTIFS('Raw SmartLead Replies'!A:A,'Campaign Overview'!A160,'Raw SmartLead Replies'!G:G,"Interested"))</f>
        <v/>
      </c>
      <c r="O320" s="0" t="str">
        <f aca="false">IF('Campaign Overview'!A160="","",COUNTIFS('Raw GHL Data'!C:C,'Campaign Overview'!A160,'Raw GHL Data'!E:E,"&lt;&gt;"))</f>
        <v/>
      </c>
      <c r="P320" s="0" t="str">
        <f aca="false">IF('Campaign Overview'!A160="","",COUNTIFS('Raw GHL Data'!C:C,'Campaign Overview'!A160,'Raw GHL Data'!H:H,"&lt;&gt;"))</f>
        <v/>
      </c>
      <c r="Q320" s="21" t="str">
        <f aca="false">IF(OR('Campaign Overview'!A160="",M320=0),"",P320/M320)</f>
        <v/>
      </c>
    </row>
    <row r="321" customFormat="false" ht="15" hidden="false" customHeight="false" outlineLevel="0" collapsed="false">
      <c r="K321" s="0" t="str">
        <f aca="false">IF('Campaign Overview'!A161="","",'Campaign Overview'!A161)</f>
        <v/>
      </c>
      <c r="L321" s="0" t="str">
        <f aca="false">IF('Campaign Overview'!A161="","",'Campaign Overview'!B161)</f>
        <v/>
      </c>
      <c r="M321" s="0" t="str">
        <f aca="false">IF('Campaign Overview'!A161="","",COUNTIFS('Raw SmartLead Replies'!A:A,'Campaign Overview'!A161))</f>
        <v/>
      </c>
      <c r="N321" s="0" t="str">
        <f aca="false">IF('Campaign Overview'!A161="","",COUNTIFS('Raw SmartLead Replies'!A:A,'Campaign Overview'!A161,'Raw SmartLead Replies'!G:G,"Interested"))</f>
        <v/>
      </c>
      <c r="O321" s="0" t="str">
        <f aca="false">IF('Campaign Overview'!A161="","",COUNTIFS('Raw GHL Data'!C:C,'Campaign Overview'!A161,'Raw GHL Data'!E:E,"&lt;&gt;"))</f>
        <v/>
      </c>
      <c r="P321" s="0" t="str">
        <f aca="false">IF('Campaign Overview'!A161="","",COUNTIFS('Raw GHL Data'!C:C,'Campaign Overview'!A161,'Raw GHL Data'!H:H,"&lt;&gt;"))</f>
        <v/>
      </c>
      <c r="Q321" s="21" t="str">
        <f aca="false">IF(OR('Campaign Overview'!A161="",M321=0),"",P321/M321)</f>
        <v/>
      </c>
    </row>
    <row r="322" customFormat="false" ht="15" hidden="false" customHeight="false" outlineLevel="0" collapsed="false">
      <c r="K322" s="0" t="str">
        <f aca="false">IF('Campaign Overview'!A162="","",'Campaign Overview'!A162)</f>
        <v/>
      </c>
      <c r="L322" s="0" t="str">
        <f aca="false">IF('Campaign Overview'!A162="","",'Campaign Overview'!B162)</f>
        <v/>
      </c>
      <c r="M322" s="0" t="str">
        <f aca="false">IF('Campaign Overview'!A162="","",COUNTIFS('Raw SmartLead Replies'!A:A,'Campaign Overview'!A162))</f>
        <v/>
      </c>
      <c r="N322" s="0" t="str">
        <f aca="false">IF('Campaign Overview'!A162="","",COUNTIFS('Raw SmartLead Replies'!A:A,'Campaign Overview'!A162,'Raw SmartLead Replies'!G:G,"Interested"))</f>
        <v/>
      </c>
      <c r="O322" s="0" t="str">
        <f aca="false">IF('Campaign Overview'!A162="","",COUNTIFS('Raw GHL Data'!C:C,'Campaign Overview'!A162,'Raw GHL Data'!E:E,"&lt;&gt;"))</f>
        <v/>
      </c>
      <c r="P322" s="0" t="str">
        <f aca="false">IF('Campaign Overview'!A162="","",COUNTIFS('Raw GHL Data'!C:C,'Campaign Overview'!A162,'Raw GHL Data'!H:H,"&lt;&gt;"))</f>
        <v/>
      </c>
      <c r="Q322" s="21" t="str">
        <f aca="false">IF(OR('Campaign Overview'!A162="",M322=0),"",P322/M322)</f>
        <v/>
      </c>
    </row>
    <row r="323" customFormat="false" ht="15" hidden="false" customHeight="false" outlineLevel="0" collapsed="false">
      <c r="K323" s="0" t="str">
        <f aca="false">IF('Campaign Overview'!A163="","",'Campaign Overview'!A163)</f>
        <v/>
      </c>
      <c r="L323" s="0" t="str">
        <f aca="false">IF('Campaign Overview'!A163="","",'Campaign Overview'!B163)</f>
        <v/>
      </c>
      <c r="M323" s="0" t="str">
        <f aca="false">IF('Campaign Overview'!A163="","",COUNTIFS('Raw SmartLead Replies'!A:A,'Campaign Overview'!A163))</f>
        <v/>
      </c>
      <c r="N323" s="0" t="str">
        <f aca="false">IF('Campaign Overview'!A163="","",COUNTIFS('Raw SmartLead Replies'!A:A,'Campaign Overview'!A163,'Raw SmartLead Replies'!G:G,"Interested"))</f>
        <v/>
      </c>
      <c r="O323" s="0" t="str">
        <f aca="false">IF('Campaign Overview'!A163="","",COUNTIFS('Raw GHL Data'!C:C,'Campaign Overview'!A163,'Raw GHL Data'!E:E,"&lt;&gt;"))</f>
        <v/>
      </c>
      <c r="P323" s="0" t="str">
        <f aca="false">IF('Campaign Overview'!A163="","",COUNTIFS('Raw GHL Data'!C:C,'Campaign Overview'!A163,'Raw GHL Data'!H:H,"&lt;&gt;"))</f>
        <v/>
      </c>
      <c r="Q323" s="21" t="str">
        <f aca="false">IF(OR('Campaign Overview'!A163="",M323=0),"",P323/M323)</f>
        <v/>
      </c>
    </row>
    <row r="324" customFormat="false" ht="15" hidden="false" customHeight="false" outlineLevel="0" collapsed="false">
      <c r="K324" s="0" t="str">
        <f aca="false">IF('Campaign Overview'!A164="","",'Campaign Overview'!A164)</f>
        <v/>
      </c>
      <c r="L324" s="0" t="str">
        <f aca="false">IF('Campaign Overview'!A164="","",'Campaign Overview'!B164)</f>
        <v/>
      </c>
      <c r="M324" s="0" t="str">
        <f aca="false">IF('Campaign Overview'!A164="","",COUNTIFS('Raw SmartLead Replies'!A:A,'Campaign Overview'!A164))</f>
        <v/>
      </c>
      <c r="N324" s="0" t="str">
        <f aca="false">IF('Campaign Overview'!A164="","",COUNTIFS('Raw SmartLead Replies'!A:A,'Campaign Overview'!A164,'Raw SmartLead Replies'!G:G,"Interested"))</f>
        <v/>
      </c>
      <c r="O324" s="0" t="str">
        <f aca="false">IF('Campaign Overview'!A164="","",COUNTIFS('Raw GHL Data'!C:C,'Campaign Overview'!A164,'Raw GHL Data'!E:E,"&lt;&gt;"))</f>
        <v/>
      </c>
      <c r="P324" s="0" t="str">
        <f aca="false">IF('Campaign Overview'!A164="","",COUNTIFS('Raw GHL Data'!C:C,'Campaign Overview'!A164,'Raw GHL Data'!H:H,"&lt;&gt;"))</f>
        <v/>
      </c>
      <c r="Q324" s="21" t="str">
        <f aca="false">IF(OR('Campaign Overview'!A164="",M324=0),"",P324/M324)</f>
        <v/>
      </c>
    </row>
    <row r="325" customFormat="false" ht="15" hidden="false" customHeight="false" outlineLevel="0" collapsed="false">
      <c r="K325" s="0" t="str">
        <f aca="false">IF('Campaign Overview'!A165="","",'Campaign Overview'!A165)</f>
        <v/>
      </c>
      <c r="L325" s="0" t="str">
        <f aca="false">IF('Campaign Overview'!A165="","",'Campaign Overview'!B165)</f>
        <v/>
      </c>
      <c r="M325" s="0" t="str">
        <f aca="false">IF('Campaign Overview'!A165="","",COUNTIFS('Raw SmartLead Replies'!A:A,'Campaign Overview'!A165))</f>
        <v/>
      </c>
      <c r="N325" s="0" t="str">
        <f aca="false">IF('Campaign Overview'!A165="","",COUNTIFS('Raw SmartLead Replies'!A:A,'Campaign Overview'!A165,'Raw SmartLead Replies'!G:G,"Interested"))</f>
        <v/>
      </c>
      <c r="O325" s="0" t="str">
        <f aca="false">IF('Campaign Overview'!A165="","",COUNTIFS('Raw GHL Data'!C:C,'Campaign Overview'!A165,'Raw GHL Data'!E:E,"&lt;&gt;"))</f>
        <v/>
      </c>
      <c r="P325" s="0" t="str">
        <f aca="false">IF('Campaign Overview'!A165="","",COUNTIFS('Raw GHL Data'!C:C,'Campaign Overview'!A165,'Raw GHL Data'!H:H,"&lt;&gt;"))</f>
        <v/>
      </c>
      <c r="Q325" s="21" t="str">
        <f aca="false">IF(OR('Campaign Overview'!A165="",M325=0),"",P325/M325)</f>
        <v/>
      </c>
    </row>
    <row r="326" customFormat="false" ht="15" hidden="false" customHeight="false" outlineLevel="0" collapsed="false">
      <c r="K326" s="0" t="str">
        <f aca="false">IF('Campaign Overview'!A166="","",'Campaign Overview'!A166)</f>
        <v/>
      </c>
      <c r="L326" s="0" t="str">
        <f aca="false">IF('Campaign Overview'!A166="","",'Campaign Overview'!B166)</f>
        <v/>
      </c>
      <c r="M326" s="0" t="str">
        <f aca="false">IF('Campaign Overview'!A166="","",COUNTIFS('Raw SmartLead Replies'!A:A,'Campaign Overview'!A166))</f>
        <v/>
      </c>
      <c r="N326" s="0" t="str">
        <f aca="false">IF('Campaign Overview'!A166="","",COUNTIFS('Raw SmartLead Replies'!A:A,'Campaign Overview'!A166,'Raw SmartLead Replies'!G:G,"Interested"))</f>
        <v/>
      </c>
      <c r="O326" s="0" t="str">
        <f aca="false">IF('Campaign Overview'!A166="","",COUNTIFS('Raw GHL Data'!C:C,'Campaign Overview'!A166,'Raw GHL Data'!E:E,"&lt;&gt;"))</f>
        <v/>
      </c>
      <c r="P326" s="0" t="str">
        <f aca="false">IF('Campaign Overview'!A166="","",COUNTIFS('Raw GHL Data'!C:C,'Campaign Overview'!A166,'Raw GHL Data'!H:H,"&lt;&gt;"))</f>
        <v/>
      </c>
      <c r="Q326" s="21" t="str">
        <f aca="false">IF(OR('Campaign Overview'!A166="",M326=0),"",P326/M326)</f>
        <v/>
      </c>
    </row>
    <row r="327" customFormat="false" ht="15" hidden="false" customHeight="false" outlineLevel="0" collapsed="false">
      <c r="K327" s="0" t="str">
        <f aca="false">IF('Campaign Overview'!A167="","",'Campaign Overview'!A167)</f>
        <v/>
      </c>
      <c r="L327" s="0" t="str">
        <f aca="false">IF('Campaign Overview'!A167="","",'Campaign Overview'!B167)</f>
        <v/>
      </c>
      <c r="M327" s="0" t="str">
        <f aca="false">IF('Campaign Overview'!A167="","",COUNTIFS('Raw SmartLead Replies'!A:A,'Campaign Overview'!A167))</f>
        <v/>
      </c>
      <c r="N327" s="0" t="str">
        <f aca="false">IF('Campaign Overview'!A167="","",COUNTIFS('Raw SmartLead Replies'!A:A,'Campaign Overview'!A167,'Raw SmartLead Replies'!G:G,"Interested"))</f>
        <v/>
      </c>
      <c r="O327" s="0" t="str">
        <f aca="false">IF('Campaign Overview'!A167="","",COUNTIFS('Raw GHL Data'!C:C,'Campaign Overview'!A167,'Raw GHL Data'!E:E,"&lt;&gt;"))</f>
        <v/>
      </c>
      <c r="P327" s="0" t="str">
        <f aca="false">IF('Campaign Overview'!A167="","",COUNTIFS('Raw GHL Data'!C:C,'Campaign Overview'!A167,'Raw GHL Data'!H:H,"&lt;&gt;"))</f>
        <v/>
      </c>
      <c r="Q327" s="21" t="str">
        <f aca="false">IF(OR('Campaign Overview'!A167="",M327=0),"",P327/M327)</f>
        <v/>
      </c>
    </row>
    <row r="328" customFormat="false" ht="15" hidden="false" customHeight="false" outlineLevel="0" collapsed="false">
      <c r="K328" s="0" t="str">
        <f aca="false">IF('Campaign Overview'!A168="","",'Campaign Overview'!A168)</f>
        <v/>
      </c>
      <c r="L328" s="0" t="str">
        <f aca="false">IF('Campaign Overview'!A168="","",'Campaign Overview'!B168)</f>
        <v/>
      </c>
      <c r="M328" s="0" t="str">
        <f aca="false">IF('Campaign Overview'!A168="","",COUNTIFS('Raw SmartLead Replies'!A:A,'Campaign Overview'!A168))</f>
        <v/>
      </c>
      <c r="N328" s="0" t="str">
        <f aca="false">IF('Campaign Overview'!A168="","",COUNTIFS('Raw SmartLead Replies'!A:A,'Campaign Overview'!A168,'Raw SmartLead Replies'!G:G,"Interested"))</f>
        <v/>
      </c>
      <c r="O328" s="0" t="str">
        <f aca="false">IF('Campaign Overview'!A168="","",COUNTIFS('Raw GHL Data'!C:C,'Campaign Overview'!A168,'Raw GHL Data'!E:E,"&lt;&gt;"))</f>
        <v/>
      </c>
      <c r="P328" s="0" t="str">
        <f aca="false">IF('Campaign Overview'!A168="","",COUNTIFS('Raw GHL Data'!C:C,'Campaign Overview'!A168,'Raw GHL Data'!H:H,"&lt;&gt;"))</f>
        <v/>
      </c>
      <c r="Q328" s="21" t="str">
        <f aca="false">IF(OR('Campaign Overview'!A168="",M328=0),"",P328/M328)</f>
        <v/>
      </c>
    </row>
    <row r="329" customFormat="false" ht="15" hidden="false" customHeight="false" outlineLevel="0" collapsed="false">
      <c r="K329" s="0" t="str">
        <f aca="false">IF('Campaign Overview'!A169="","",'Campaign Overview'!A169)</f>
        <v/>
      </c>
      <c r="L329" s="0" t="str">
        <f aca="false">IF('Campaign Overview'!A169="","",'Campaign Overview'!B169)</f>
        <v/>
      </c>
      <c r="M329" s="0" t="str">
        <f aca="false">IF('Campaign Overview'!A169="","",COUNTIFS('Raw SmartLead Replies'!A:A,'Campaign Overview'!A169))</f>
        <v/>
      </c>
      <c r="N329" s="0" t="str">
        <f aca="false">IF('Campaign Overview'!A169="","",COUNTIFS('Raw SmartLead Replies'!A:A,'Campaign Overview'!A169,'Raw SmartLead Replies'!G:G,"Interested"))</f>
        <v/>
      </c>
      <c r="O329" s="0" t="str">
        <f aca="false">IF('Campaign Overview'!A169="","",COUNTIFS('Raw GHL Data'!C:C,'Campaign Overview'!A169,'Raw GHL Data'!E:E,"&lt;&gt;"))</f>
        <v/>
      </c>
      <c r="P329" s="0" t="str">
        <f aca="false">IF('Campaign Overview'!A169="","",COUNTIFS('Raw GHL Data'!C:C,'Campaign Overview'!A169,'Raw GHL Data'!H:H,"&lt;&gt;"))</f>
        <v/>
      </c>
      <c r="Q329" s="21" t="str">
        <f aca="false">IF(OR('Campaign Overview'!A169="",M329=0),"",P329/M329)</f>
        <v/>
      </c>
    </row>
    <row r="330" customFormat="false" ht="15" hidden="false" customHeight="false" outlineLevel="0" collapsed="false">
      <c r="K330" s="0" t="str">
        <f aca="false">IF('Campaign Overview'!A170="","",'Campaign Overview'!A170)</f>
        <v/>
      </c>
      <c r="L330" s="0" t="str">
        <f aca="false">IF('Campaign Overview'!A170="","",'Campaign Overview'!B170)</f>
        <v/>
      </c>
      <c r="M330" s="0" t="str">
        <f aca="false">IF('Campaign Overview'!A170="","",COUNTIFS('Raw SmartLead Replies'!A:A,'Campaign Overview'!A170))</f>
        <v/>
      </c>
      <c r="N330" s="0" t="str">
        <f aca="false">IF('Campaign Overview'!A170="","",COUNTIFS('Raw SmartLead Replies'!A:A,'Campaign Overview'!A170,'Raw SmartLead Replies'!G:G,"Interested"))</f>
        <v/>
      </c>
      <c r="O330" s="0" t="str">
        <f aca="false">IF('Campaign Overview'!A170="","",COUNTIFS('Raw GHL Data'!C:C,'Campaign Overview'!A170,'Raw GHL Data'!E:E,"&lt;&gt;"))</f>
        <v/>
      </c>
      <c r="P330" s="0" t="str">
        <f aca="false">IF('Campaign Overview'!A170="","",COUNTIFS('Raw GHL Data'!C:C,'Campaign Overview'!A170,'Raw GHL Data'!H:H,"&lt;&gt;"))</f>
        <v/>
      </c>
      <c r="Q330" s="21" t="str">
        <f aca="false">IF(OR('Campaign Overview'!A170="",M330=0),"",P330/M330)</f>
        <v/>
      </c>
    </row>
    <row r="331" customFormat="false" ht="15" hidden="false" customHeight="false" outlineLevel="0" collapsed="false">
      <c r="K331" s="0" t="str">
        <f aca="false">IF('Campaign Overview'!A171="","",'Campaign Overview'!A171)</f>
        <v/>
      </c>
      <c r="L331" s="0" t="str">
        <f aca="false">IF('Campaign Overview'!A171="","",'Campaign Overview'!B171)</f>
        <v/>
      </c>
      <c r="M331" s="0" t="str">
        <f aca="false">IF('Campaign Overview'!A171="","",COUNTIFS('Raw SmartLead Replies'!A:A,'Campaign Overview'!A171))</f>
        <v/>
      </c>
      <c r="N331" s="0" t="str">
        <f aca="false">IF('Campaign Overview'!A171="","",COUNTIFS('Raw SmartLead Replies'!A:A,'Campaign Overview'!A171,'Raw SmartLead Replies'!G:G,"Interested"))</f>
        <v/>
      </c>
      <c r="O331" s="0" t="str">
        <f aca="false">IF('Campaign Overview'!A171="","",COUNTIFS('Raw GHL Data'!C:C,'Campaign Overview'!A171,'Raw GHL Data'!E:E,"&lt;&gt;"))</f>
        <v/>
      </c>
      <c r="P331" s="0" t="str">
        <f aca="false">IF('Campaign Overview'!A171="","",COUNTIFS('Raw GHL Data'!C:C,'Campaign Overview'!A171,'Raw GHL Data'!H:H,"&lt;&gt;"))</f>
        <v/>
      </c>
      <c r="Q331" s="21" t="str">
        <f aca="false">IF(OR('Campaign Overview'!A171="",M331=0),"",P331/M331)</f>
        <v/>
      </c>
    </row>
    <row r="332" customFormat="false" ht="15" hidden="false" customHeight="false" outlineLevel="0" collapsed="false">
      <c r="K332" s="0" t="str">
        <f aca="false">IF('Campaign Overview'!A172="","",'Campaign Overview'!A172)</f>
        <v/>
      </c>
      <c r="L332" s="0" t="str">
        <f aca="false">IF('Campaign Overview'!A172="","",'Campaign Overview'!B172)</f>
        <v/>
      </c>
      <c r="M332" s="0" t="str">
        <f aca="false">IF('Campaign Overview'!A172="","",COUNTIFS('Raw SmartLead Replies'!A:A,'Campaign Overview'!A172))</f>
        <v/>
      </c>
      <c r="N332" s="0" t="str">
        <f aca="false">IF('Campaign Overview'!A172="","",COUNTIFS('Raw SmartLead Replies'!A:A,'Campaign Overview'!A172,'Raw SmartLead Replies'!G:G,"Interested"))</f>
        <v/>
      </c>
      <c r="O332" s="0" t="str">
        <f aca="false">IF('Campaign Overview'!A172="","",COUNTIFS('Raw GHL Data'!C:C,'Campaign Overview'!A172,'Raw GHL Data'!E:E,"&lt;&gt;"))</f>
        <v/>
      </c>
      <c r="P332" s="0" t="str">
        <f aca="false">IF('Campaign Overview'!A172="","",COUNTIFS('Raw GHL Data'!C:C,'Campaign Overview'!A172,'Raw GHL Data'!H:H,"&lt;&gt;"))</f>
        <v/>
      </c>
      <c r="Q332" s="21" t="str">
        <f aca="false">IF(OR('Campaign Overview'!A172="",M332=0),"",P332/M332)</f>
        <v/>
      </c>
    </row>
    <row r="333" customFormat="false" ht="15" hidden="false" customHeight="false" outlineLevel="0" collapsed="false">
      <c r="K333" s="0" t="str">
        <f aca="false">IF('Campaign Overview'!A173="","",'Campaign Overview'!A173)</f>
        <v/>
      </c>
      <c r="L333" s="0" t="str">
        <f aca="false">IF('Campaign Overview'!A173="","",'Campaign Overview'!B173)</f>
        <v/>
      </c>
      <c r="M333" s="0" t="str">
        <f aca="false">IF('Campaign Overview'!A173="","",COUNTIFS('Raw SmartLead Replies'!A:A,'Campaign Overview'!A173))</f>
        <v/>
      </c>
      <c r="N333" s="0" t="str">
        <f aca="false">IF('Campaign Overview'!A173="","",COUNTIFS('Raw SmartLead Replies'!A:A,'Campaign Overview'!A173,'Raw SmartLead Replies'!G:G,"Interested"))</f>
        <v/>
      </c>
      <c r="O333" s="0" t="str">
        <f aca="false">IF('Campaign Overview'!A173="","",COUNTIFS('Raw GHL Data'!C:C,'Campaign Overview'!A173,'Raw GHL Data'!E:E,"&lt;&gt;"))</f>
        <v/>
      </c>
      <c r="P333" s="0" t="str">
        <f aca="false">IF('Campaign Overview'!A173="","",COUNTIFS('Raw GHL Data'!C:C,'Campaign Overview'!A173,'Raw GHL Data'!H:H,"&lt;&gt;"))</f>
        <v/>
      </c>
      <c r="Q333" s="21" t="str">
        <f aca="false">IF(OR('Campaign Overview'!A173="",M333=0),"",P333/M333)</f>
        <v/>
      </c>
    </row>
    <row r="334" customFormat="false" ht="15" hidden="false" customHeight="false" outlineLevel="0" collapsed="false">
      <c r="K334" s="0" t="str">
        <f aca="false">IF('Campaign Overview'!A174="","",'Campaign Overview'!A174)</f>
        <v/>
      </c>
      <c r="L334" s="0" t="str">
        <f aca="false">IF('Campaign Overview'!A174="","",'Campaign Overview'!B174)</f>
        <v/>
      </c>
      <c r="M334" s="0" t="str">
        <f aca="false">IF('Campaign Overview'!A174="","",COUNTIFS('Raw SmartLead Replies'!A:A,'Campaign Overview'!A174))</f>
        <v/>
      </c>
      <c r="N334" s="0" t="str">
        <f aca="false">IF('Campaign Overview'!A174="","",COUNTIFS('Raw SmartLead Replies'!A:A,'Campaign Overview'!A174,'Raw SmartLead Replies'!G:G,"Interested"))</f>
        <v/>
      </c>
      <c r="O334" s="0" t="str">
        <f aca="false">IF('Campaign Overview'!A174="","",COUNTIFS('Raw GHL Data'!C:C,'Campaign Overview'!A174,'Raw GHL Data'!E:E,"&lt;&gt;"))</f>
        <v/>
      </c>
      <c r="P334" s="0" t="str">
        <f aca="false">IF('Campaign Overview'!A174="","",COUNTIFS('Raw GHL Data'!C:C,'Campaign Overview'!A174,'Raw GHL Data'!H:H,"&lt;&gt;"))</f>
        <v/>
      </c>
      <c r="Q334" s="21" t="str">
        <f aca="false">IF(OR('Campaign Overview'!A174="",M334=0),"",P334/M334)</f>
        <v/>
      </c>
    </row>
    <row r="335" customFormat="false" ht="15" hidden="false" customHeight="false" outlineLevel="0" collapsed="false">
      <c r="K335" s="0" t="str">
        <f aca="false">IF('Campaign Overview'!A175="","",'Campaign Overview'!A175)</f>
        <v/>
      </c>
      <c r="L335" s="0" t="str">
        <f aca="false">IF('Campaign Overview'!A175="","",'Campaign Overview'!B175)</f>
        <v/>
      </c>
      <c r="M335" s="0" t="str">
        <f aca="false">IF('Campaign Overview'!A175="","",COUNTIFS('Raw SmartLead Replies'!A:A,'Campaign Overview'!A175))</f>
        <v/>
      </c>
      <c r="N335" s="0" t="str">
        <f aca="false">IF('Campaign Overview'!A175="","",COUNTIFS('Raw SmartLead Replies'!A:A,'Campaign Overview'!A175,'Raw SmartLead Replies'!G:G,"Interested"))</f>
        <v/>
      </c>
      <c r="O335" s="0" t="str">
        <f aca="false">IF('Campaign Overview'!A175="","",COUNTIFS('Raw GHL Data'!C:C,'Campaign Overview'!A175,'Raw GHL Data'!E:E,"&lt;&gt;"))</f>
        <v/>
      </c>
      <c r="P335" s="0" t="str">
        <f aca="false">IF('Campaign Overview'!A175="","",COUNTIFS('Raw GHL Data'!C:C,'Campaign Overview'!A175,'Raw GHL Data'!H:H,"&lt;&gt;"))</f>
        <v/>
      </c>
      <c r="Q335" s="21" t="str">
        <f aca="false">IF(OR('Campaign Overview'!A175="",M335=0),"",P335/M335)</f>
        <v/>
      </c>
    </row>
    <row r="336" customFormat="false" ht="15" hidden="false" customHeight="false" outlineLevel="0" collapsed="false">
      <c r="K336" s="0" t="str">
        <f aca="false">IF('Campaign Overview'!A176="","",'Campaign Overview'!A176)</f>
        <v/>
      </c>
      <c r="L336" s="0" t="str">
        <f aca="false">IF('Campaign Overview'!A176="","",'Campaign Overview'!B176)</f>
        <v/>
      </c>
      <c r="M336" s="0" t="str">
        <f aca="false">IF('Campaign Overview'!A176="","",COUNTIFS('Raw SmartLead Replies'!A:A,'Campaign Overview'!A176))</f>
        <v/>
      </c>
      <c r="N336" s="0" t="str">
        <f aca="false">IF('Campaign Overview'!A176="","",COUNTIFS('Raw SmartLead Replies'!A:A,'Campaign Overview'!A176,'Raw SmartLead Replies'!G:G,"Interested"))</f>
        <v/>
      </c>
      <c r="O336" s="0" t="str">
        <f aca="false">IF('Campaign Overview'!A176="","",COUNTIFS('Raw GHL Data'!C:C,'Campaign Overview'!A176,'Raw GHL Data'!E:E,"&lt;&gt;"))</f>
        <v/>
      </c>
      <c r="P336" s="0" t="str">
        <f aca="false">IF('Campaign Overview'!A176="","",COUNTIFS('Raw GHL Data'!C:C,'Campaign Overview'!A176,'Raw GHL Data'!H:H,"&lt;&gt;"))</f>
        <v/>
      </c>
      <c r="Q336" s="21" t="str">
        <f aca="false">IF(OR('Campaign Overview'!A176="",M336=0),"",P336/M336)</f>
        <v/>
      </c>
    </row>
    <row r="337" customFormat="false" ht="15" hidden="false" customHeight="false" outlineLevel="0" collapsed="false">
      <c r="K337" s="0" t="str">
        <f aca="false">IF('Campaign Overview'!A177="","",'Campaign Overview'!A177)</f>
        <v/>
      </c>
      <c r="L337" s="0" t="str">
        <f aca="false">IF('Campaign Overview'!A177="","",'Campaign Overview'!B177)</f>
        <v/>
      </c>
      <c r="M337" s="0" t="str">
        <f aca="false">IF('Campaign Overview'!A177="","",COUNTIFS('Raw SmartLead Replies'!A:A,'Campaign Overview'!A177))</f>
        <v/>
      </c>
      <c r="N337" s="0" t="str">
        <f aca="false">IF('Campaign Overview'!A177="","",COUNTIFS('Raw SmartLead Replies'!A:A,'Campaign Overview'!A177,'Raw SmartLead Replies'!G:G,"Interested"))</f>
        <v/>
      </c>
      <c r="O337" s="0" t="str">
        <f aca="false">IF('Campaign Overview'!A177="","",COUNTIFS('Raw GHL Data'!C:C,'Campaign Overview'!A177,'Raw GHL Data'!E:E,"&lt;&gt;"))</f>
        <v/>
      </c>
      <c r="P337" s="0" t="str">
        <f aca="false">IF('Campaign Overview'!A177="","",COUNTIFS('Raw GHL Data'!C:C,'Campaign Overview'!A177,'Raw GHL Data'!H:H,"&lt;&gt;"))</f>
        <v/>
      </c>
      <c r="Q337" s="21" t="str">
        <f aca="false">IF(OR('Campaign Overview'!A177="",M337=0),"",P337/M337)</f>
        <v/>
      </c>
    </row>
    <row r="338" customFormat="false" ht="15" hidden="false" customHeight="false" outlineLevel="0" collapsed="false">
      <c r="K338" s="0" t="str">
        <f aca="false">IF('Campaign Overview'!A178="","",'Campaign Overview'!A178)</f>
        <v/>
      </c>
      <c r="L338" s="0" t="str">
        <f aca="false">IF('Campaign Overview'!A178="","",'Campaign Overview'!B178)</f>
        <v/>
      </c>
      <c r="M338" s="0" t="str">
        <f aca="false">IF('Campaign Overview'!A178="","",COUNTIFS('Raw SmartLead Replies'!A:A,'Campaign Overview'!A178))</f>
        <v/>
      </c>
      <c r="N338" s="0" t="str">
        <f aca="false">IF('Campaign Overview'!A178="","",COUNTIFS('Raw SmartLead Replies'!A:A,'Campaign Overview'!A178,'Raw SmartLead Replies'!G:G,"Interested"))</f>
        <v/>
      </c>
      <c r="O338" s="0" t="str">
        <f aca="false">IF('Campaign Overview'!A178="","",COUNTIFS('Raw GHL Data'!C:C,'Campaign Overview'!A178,'Raw GHL Data'!E:E,"&lt;&gt;"))</f>
        <v/>
      </c>
      <c r="P338" s="0" t="str">
        <f aca="false">IF('Campaign Overview'!A178="","",COUNTIFS('Raw GHL Data'!C:C,'Campaign Overview'!A178,'Raw GHL Data'!H:H,"&lt;&gt;"))</f>
        <v/>
      </c>
      <c r="Q338" s="21" t="str">
        <f aca="false">IF(OR('Campaign Overview'!A178="",M338=0),"",P338/M338)</f>
        <v/>
      </c>
    </row>
    <row r="339" customFormat="false" ht="15" hidden="false" customHeight="false" outlineLevel="0" collapsed="false">
      <c r="K339" s="0" t="str">
        <f aca="false">IF('Campaign Overview'!A179="","",'Campaign Overview'!A179)</f>
        <v/>
      </c>
      <c r="L339" s="0" t="str">
        <f aca="false">IF('Campaign Overview'!A179="","",'Campaign Overview'!B179)</f>
        <v/>
      </c>
      <c r="M339" s="0" t="str">
        <f aca="false">IF('Campaign Overview'!A179="","",COUNTIFS('Raw SmartLead Replies'!A:A,'Campaign Overview'!A179))</f>
        <v/>
      </c>
      <c r="N339" s="0" t="str">
        <f aca="false">IF('Campaign Overview'!A179="","",COUNTIFS('Raw SmartLead Replies'!A:A,'Campaign Overview'!A179,'Raw SmartLead Replies'!G:G,"Interested"))</f>
        <v/>
      </c>
      <c r="O339" s="0" t="str">
        <f aca="false">IF('Campaign Overview'!A179="","",COUNTIFS('Raw GHL Data'!C:C,'Campaign Overview'!A179,'Raw GHL Data'!E:E,"&lt;&gt;"))</f>
        <v/>
      </c>
      <c r="P339" s="0" t="str">
        <f aca="false">IF('Campaign Overview'!A179="","",COUNTIFS('Raw GHL Data'!C:C,'Campaign Overview'!A179,'Raw GHL Data'!H:H,"&lt;&gt;"))</f>
        <v/>
      </c>
      <c r="Q339" s="21" t="str">
        <f aca="false">IF(OR('Campaign Overview'!A179="",M339=0),"",P339/M339)</f>
        <v/>
      </c>
    </row>
    <row r="340" customFormat="false" ht="15" hidden="false" customHeight="false" outlineLevel="0" collapsed="false">
      <c r="K340" s="0" t="str">
        <f aca="false">IF('Campaign Overview'!A180="","",'Campaign Overview'!A180)</f>
        <v/>
      </c>
      <c r="L340" s="0" t="str">
        <f aca="false">IF('Campaign Overview'!A180="","",'Campaign Overview'!B180)</f>
        <v/>
      </c>
      <c r="M340" s="0" t="str">
        <f aca="false">IF('Campaign Overview'!A180="","",COUNTIFS('Raw SmartLead Replies'!A:A,'Campaign Overview'!A180))</f>
        <v/>
      </c>
      <c r="N340" s="0" t="str">
        <f aca="false">IF('Campaign Overview'!A180="","",COUNTIFS('Raw SmartLead Replies'!A:A,'Campaign Overview'!A180,'Raw SmartLead Replies'!G:G,"Interested"))</f>
        <v/>
      </c>
      <c r="O340" s="0" t="str">
        <f aca="false">IF('Campaign Overview'!A180="","",COUNTIFS('Raw GHL Data'!C:C,'Campaign Overview'!A180,'Raw GHL Data'!E:E,"&lt;&gt;"))</f>
        <v/>
      </c>
      <c r="P340" s="0" t="str">
        <f aca="false">IF('Campaign Overview'!A180="","",COUNTIFS('Raw GHL Data'!C:C,'Campaign Overview'!A180,'Raw GHL Data'!H:H,"&lt;&gt;"))</f>
        <v/>
      </c>
      <c r="Q340" s="21" t="str">
        <f aca="false">IF(OR('Campaign Overview'!A180="",M340=0),"",P340/M340)</f>
        <v/>
      </c>
    </row>
    <row r="341" customFormat="false" ht="15" hidden="false" customHeight="false" outlineLevel="0" collapsed="false">
      <c r="K341" s="0" t="str">
        <f aca="false">IF('Campaign Overview'!A181="","",'Campaign Overview'!A181)</f>
        <v/>
      </c>
      <c r="L341" s="0" t="str">
        <f aca="false">IF('Campaign Overview'!A181="","",'Campaign Overview'!B181)</f>
        <v/>
      </c>
      <c r="M341" s="0" t="str">
        <f aca="false">IF('Campaign Overview'!A181="","",COUNTIFS('Raw SmartLead Replies'!A:A,'Campaign Overview'!A181))</f>
        <v/>
      </c>
      <c r="N341" s="0" t="str">
        <f aca="false">IF('Campaign Overview'!A181="","",COUNTIFS('Raw SmartLead Replies'!A:A,'Campaign Overview'!A181,'Raw SmartLead Replies'!G:G,"Interested"))</f>
        <v/>
      </c>
      <c r="O341" s="0" t="str">
        <f aca="false">IF('Campaign Overview'!A181="","",COUNTIFS('Raw GHL Data'!C:C,'Campaign Overview'!A181,'Raw GHL Data'!E:E,"&lt;&gt;"))</f>
        <v/>
      </c>
      <c r="P341" s="0" t="str">
        <f aca="false">IF('Campaign Overview'!A181="","",COUNTIFS('Raw GHL Data'!C:C,'Campaign Overview'!A181,'Raw GHL Data'!H:H,"&lt;&gt;"))</f>
        <v/>
      </c>
      <c r="Q341" s="21" t="str">
        <f aca="false">IF(OR('Campaign Overview'!A181="",M341=0),"",P341/M341)</f>
        <v/>
      </c>
    </row>
    <row r="342" customFormat="false" ht="15" hidden="false" customHeight="false" outlineLevel="0" collapsed="false">
      <c r="K342" s="0" t="str">
        <f aca="false">IF('Campaign Overview'!A182="","",'Campaign Overview'!A182)</f>
        <v/>
      </c>
      <c r="L342" s="0" t="str">
        <f aca="false">IF('Campaign Overview'!A182="","",'Campaign Overview'!B182)</f>
        <v/>
      </c>
      <c r="M342" s="0" t="str">
        <f aca="false">IF('Campaign Overview'!A182="","",COUNTIFS('Raw SmartLead Replies'!A:A,'Campaign Overview'!A182))</f>
        <v/>
      </c>
      <c r="N342" s="0" t="str">
        <f aca="false">IF('Campaign Overview'!A182="","",COUNTIFS('Raw SmartLead Replies'!A:A,'Campaign Overview'!A182,'Raw SmartLead Replies'!G:G,"Interested"))</f>
        <v/>
      </c>
      <c r="O342" s="0" t="str">
        <f aca="false">IF('Campaign Overview'!A182="","",COUNTIFS('Raw GHL Data'!C:C,'Campaign Overview'!A182,'Raw GHL Data'!E:E,"&lt;&gt;"))</f>
        <v/>
      </c>
      <c r="P342" s="0" t="str">
        <f aca="false">IF('Campaign Overview'!A182="","",COUNTIFS('Raw GHL Data'!C:C,'Campaign Overview'!A182,'Raw GHL Data'!H:H,"&lt;&gt;"))</f>
        <v/>
      </c>
      <c r="Q342" s="21" t="str">
        <f aca="false">IF(OR('Campaign Overview'!A182="",M342=0),"",P342/M342)</f>
        <v/>
      </c>
    </row>
    <row r="343" customFormat="false" ht="15" hidden="false" customHeight="false" outlineLevel="0" collapsed="false">
      <c r="K343" s="0" t="str">
        <f aca="false">IF('Campaign Overview'!A183="","",'Campaign Overview'!A183)</f>
        <v/>
      </c>
      <c r="L343" s="0" t="str">
        <f aca="false">IF('Campaign Overview'!A183="","",'Campaign Overview'!B183)</f>
        <v/>
      </c>
      <c r="M343" s="0" t="str">
        <f aca="false">IF('Campaign Overview'!A183="","",COUNTIFS('Raw SmartLead Replies'!A:A,'Campaign Overview'!A183))</f>
        <v/>
      </c>
      <c r="N343" s="0" t="str">
        <f aca="false">IF('Campaign Overview'!A183="","",COUNTIFS('Raw SmartLead Replies'!A:A,'Campaign Overview'!A183,'Raw SmartLead Replies'!G:G,"Interested"))</f>
        <v/>
      </c>
      <c r="O343" s="0" t="str">
        <f aca="false">IF('Campaign Overview'!A183="","",COUNTIFS('Raw GHL Data'!C:C,'Campaign Overview'!A183,'Raw GHL Data'!E:E,"&lt;&gt;"))</f>
        <v/>
      </c>
      <c r="P343" s="0" t="str">
        <f aca="false">IF('Campaign Overview'!A183="","",COUNTIFS('Raw GHL Data'!C:C,'Campaign Overview'!A183,'Raw GHL Data'!H:H,"&lt;&gt;"))</f>
        <v/>
      </c>
      <c r="Q343" s="21" t="str">
        <f aca="false">IF(OR('Campaign Overview'!A183="",M343=0),"",P343/M343)</f>
        <v/>
      </c>
    </row>
    <row r="344" customFormat="false" ht="15" hidden="false" customHeight="false" outlineLevel="0" collapsed="false">
      <c r="K344" s="0" t="str">
        <f aca="false">IF('Campaign Overview'!A184="","",'Campaign Overview'!A184)</f>
        <v/>
      </c>
      <c r="L344" s="0" t="str">
        <f aca="false">IF('Campaign Overview'!A184="","",'Campaign Overview'!B184)</f>
        <v/>
      </c>
      <c r="M344" s="0" t="str">
        <f aca="false">IF('Campaign Overview'!A184="","",COUNTIFS('Raw SmartLead Replies'!A:A,'Campaign Overview'!A184))</f>
        <v/>
      </c>
      <c r="N344" s="0" t="str">
        <f aca="false">IF('Campaign Overview'!A184="","",COUNTIFS('Raw SmartLead Replies'!A:A,'Campaign Overview'!A184,'Raw SmartLead Replies'!G:G,"Interested"))</f>
        <v/>
      </c>
      <c r="O344" s="0" t="str">
        <f aca="false">IF('Campaign Overview'!A184="","",COUNTIFS('Raw GHL Data'!C:C,'Campaign Overview'!A184,'Raw GHL Data'!E:E,"&lt;&gt;"))</f>
        <v/>
      </c>
      <c r="P344" s="0" t="str">
        <f aca="false">IF('Campaign Overview'!A184="","",COUNTIFS('Raw GHL Data'!C:C,'Campaign Overview'!A184,'Raw GHL Data'!H:H,"&lt;&gt;"))</f>
        <v/>
      </c>
      <c r="Q344" s="21" t="str">
        <f aca="false">IF(OR('Campaign Overview'!A184="",M344=0),"",P344/M344)</f>
        <v/>
      </c>
    </row>
    <row r="345" customFormat="false" ht="15" hidden="false" customHeight="false" outlineLevel="0" collapsed="false">
      <c r="K345" s="0" t="str">
        <f aca="false">IF('Campaign Overview'!A185="","",'Campaign Overview'!A185)</f>
        <v/>
      </c>
      <c r="L345" s="0" t="str">
        <f aca="false">IF('Campaign Overview'!A185="","",'Campaign Overview'!B185)</f>
        <v/>
      </c>
      <c r="M345" s="0" t="str">
        <f aca="false">IF('Campaign Overview'!A185="","",COUNTIFS('Raw SmartLead Replies'!A:A,'Campaign Overview'!A185))</f>
        <v/>
      </c>
      <c r="N345" s="0" t="str">
        <f aca="false">IF('Campaign Overview'!A185="","",COUNTIFS('Raw SmartLead Replies'!A:A,'Campaign Overview'!A185,'Raw SmartLead Replies'!G:G,"Interested"))</f>
        <v/>
      </c>
      <c r="O345" s="0" t="str">
        <f aca="false">IF('Campaign Overview'!A185="","",COUNTIFS('Raw GHL Data'!C:C,'Campaign Overview'!A185,'Raw GHL Data'!E:E,"&lt;&gt;"))</f>
        <v/>
      </c>
      <c r="P345" s="0" t="str">
        <f aca="false">IF('Campaign Overview'!A185="","",COUNTIFS('Raw GHL Data'!C:C,'Campaign Overview'!A185,'Raw GHL Data'!H:H,"&lt;&gt;"))</f>
        <v/>
      </c>
      <c r="Q345" s="21" t="str">
        <f aca="false">IF(OR('Campaign Overview'!A185="",M345=0),"",P345/M345)</f>
        <v/>
      </c>
    </row>
    <row r="346" customFormat="false" ht="15" hidden="false" customHeight="false" outlineLevel="0" collapsed="false">
      <c r="K346" s="0" t="str">
        <f aca="false">IF('Campaign Overview'!A186="","",'Campaign Overview'!A186)</f>
        <v/>
      </c>
      <c r="L346" s="0" t="str">
        <f aca="false">IF('Campaign Overview'!A186="","",'Campaign Overview'!B186)</f>
        <v/>
      </c>
      <c r="M346" s="0" t="str">
        <f aca="false">IF('Campaign Overview'!A186="","",COUNTIFS('Raw SmartLead Replies'!A:A,'Campaign Overview'!A186))</f>
        <v/>
      </c>
      <c r="N346" s="0" t="str">
        <f aca="false">IF('Campaign Overview'!A186="","",COUNTIFS('Raw SmartLead Replies'!A:A,'Campaign Overview'!A186,'Raw SmartLead Replies'!G:G,"Interested"))</f>
        <v/>
      </c>
      <c r="O346" s="0" t="str">
        <f aca="false">IF('Campaign Overview'!A186="","",COUNTIFS('Raw GHL Data'!C:C,'Campaign Overview'!A186,'Raw GHL Data'!E:E,"&lt;&gt;"))</f>
        <v/>
      </c>
      <c r="P346" s="0" t="str">
        <f aca="false">IF('Campaign Overview'!A186="","",COUNTIFS('Raw GHL Data'!C:C,'Campaign Overview'!A186,'Raw GHL Data'!H:H,"&lt;&gt;"))</f>
        <v/>
      </c>
      <c r="Q346" s="21" t="str">
        <f aca="false">IF(OR('Campaign Overview'!A186="",M346=0),"",P346/M346)</f>
        <v/>
      </c>
    </row>
    <row r="347" customFormat="false" ht="15" hidden="false" customHeight="false" outlineLevel="0" collapsed="false">
      <c r="K347" s="0" t="str">
        <f aca="false">IF('Campaign Overview'!A187="","",'Campaign Overview'!A187)</f>
        <v/>
      </c>
      <c r="L347" s="0" t="str">
        <f aca="false">IF('Campaign Overview'!A187="","",'Campaign Overview'!B187)</f>
        <v/>
      </c>
      <c r="M347" s="0" t="str">
        <f aca="false">IF('Campaign Overview'!A187="","",COUNTIFS('Raw SmartLead Replies'!A:A,'Campaign Overview'!A187))</f>
        <v/>
      </c>
      <c r="N347" s="0" t="str">
        <f aca="false">IF('Campaign Overview'!A187="","",COUNTIFS('Raw SmartLead Replies'!A:A,'Campaign Overview'!A187,'Raw SmartLead Replies'!G:G,"Interested"))</f>
        <v/>
      </c>
      <c r="O347" s="0" t="str">
        <f aca="false">IF('Campaign Overview'!A187="","",COUNTIFS('Raw GHL Data'!C:C,'Campaign Overview'!A187,'Raw GHL Data'!E:E,"&lt;&gt;"))</f>
        <v/>
      </c>
      <c r="P347" s="0" t="str">
        <f aca="false">IF('Campaign Overview'!A187="","",COUNTIFS('Raw GHL Data'!C:C,'Campaign Overview'!A187,'Raw GHL Data'!H:H,"&lt;&gt;"))</f>
        <v/>
      </c>
      <c r="Q347" s="21" t="str">
        <f aca="false">IF(OR('Campaign Overview'!A187="",M347=0),"",P347/M347)</f>
        <v/>
      </c>
    </row>
    <row r="348" customFormat="false" ht="15" hidden="false" customHeight="false" outlineLevel="0" collapsed="false">
      <c r="K348" s="0" t="str">
        <f aca="false">IF('Campaign Overview'!A188="","",'Campaign Overview'!A188)</f>
        <v/>
      </c>
      <c r="L348" s="0" t="str">
        <f aca="false">IF('Campaign Overview'!A188="","",'Campaign Overview'!B188)</f>
        <v/>
      </c>
      <c r="M348" s="0" t="str">
        <f aca="false">IF('Campaign Overview'!A188="","",COUNTIFS('Raw SmartLead Replies'!A:A,'Campaign Overview'!A188))</f>
        <v/>
      </c>
      <c r="N348" s="0" t="str">
        <f aca="false">IF('Campaign Overview'!A188="","",COUNTIFS('Raw SmartLead Replies'!A:A,'Campaign Overview'!A188,'Raw SmartLead Replies'!G:G,"Interested"))</f>
        <v/>
      </c>
      <c r="O348" s="0" t="str">
        <f aca="false">IF('Campaign Overview'!A188="","",COUNTIFS('Raw GHL Data'!C:C,'Campaign Overview'!A188,'Raw GHL Data'!E:E,"&lt;&gt;"))</f>
        <v/>
      </c>
      <c r="P348" s="0" t="str">
        <f aca="false">IF('Campaign Overview'!A188="","",COUNTIFS('Raw GHL Data'!C:C,'Campaign Overview'!A188,'Raw GHL Data'!H:H,"&lt;&gt;"))</f>
        <v/>
      </c>
      <c r="Q348" s="21" t="str">
        <f aca="false">IF(OR('Campaign Overview'!A188="",M348=0),"",P348/M348)</f>
        <v/>
      </c>
    </row>
    <row r="349" customFormat="false" ht="15" hidden="false" customHeight="false" outlineLevel="0" collapsed="false">
      <c r="K349" s="0" t="str">
        <f aca="false">IF('Campaign Overview'!A189="","",'Campaign Overview'!A189)</f>
        <v/>
      </c>
      <c r="L349" s="0" t="str">
        <f aca="false">IF('Campaign Overview'!A189="","",'Campaign Overview'!B189)</f>
        <v/>
      </c>
      <c r="M349" s="0" t="str">
        <f aca="false">IF('Campaign Overview'!A189="","",COUNTIFS('Raw SmartLead Replies'!A:A,'Campaign Overview'!A189))</f>
        <v/>
      </c>
      <c r="N349" s="0" t="str">
        <f aca="false">IF('Campaign Overview'!A189="","",COUNTIFS('Raw SmartLead Replies'!A:A,'Campaign Overview'!A189,'Raw SmartLead Replies'!G:G,"Interested"))</f>
        <v/>
      </c>
      <c r="O349" s="0" t="str">
        <f aca="false">IF('Campaign Overview'!A189="","",COUNTIFS('Raw GHL Data'!C:C,'Campaign Overview'!A189,'Raw GHL Data'!E:E,"&lt;&gt;"))</f>
        <v/>
      </c>
      <c r="P349" s="0" t="str">
        <f aca="false">IF('Campaign Overview'!A189="","",COUNTIFS('Raw GHL Data'!C:C,'Campaign Overview'!A189,'Raw GHL Data'!H:H,"&lt;&gt;"))</f>
        <v/>
      </c>
      <c r="Q349" s="21" t="str">
        <f aca="false">IF(OR('Campaign Overview'!A189="",M349=0),"",P349/M349)</f>
        <v/>
      </c>
    </row>
    <row r="350" customFormat="false" ht="15" hidden="false" customHeight="false" outlineLevel="0" collapsed="false">
      <c r="K350" s="0" t="str">
        <f aca="false">IF('Campaign Overview'!A190="","",'Campaign Overview'!A190)</f>
        <v/>
      </c>
      <c r="L350" s="0" t="str">
        <f aca="false">IF('Campaign Overview'!A190="","",'Campaign Overview'!B190)</f>
        <v/>
      </c>
      <c r="M350" s="0" t="str">
        <f aca="false">IF('Campaign Overview'!A190="","",COUNTIFS('Raw SmartLead Replies'!A:A,'Campaign Overview'!A190))</f>
        <v/>
      </c>
      <c r="N350" s="0" t="str">
        <f aca="false">IF('Campaign Overview'!A190="","",COUNTIFS('Raw SmartLead Replies'!A:A,'Campaign Overview'!A190,'Raw SmartLead Replies'!G:G,"Interested"))</f>
        <v/>
      </c>
      <c r="O350" s="0" t="str">
        <f aca="false">IF('Campaign Overview'!A190="","",COUNTIFS('Raw GHL Data'!C:C,'Campaign Overview'!A190,'Raw GHL Data'!E:E,"&lt;&gt;"))</f>
        <v/>
      </c>
      <c r="P350" s="0" t="str">
        <f aca="false">IF('Campaign Overview'!A190="","",COUNTIFS('Raw GHL Data'!C:C,'Campaign Overview'!A190,'Raw GHL Data'!H:H,"&lt;&gt;"))</f>
        <v/>
      </c>
      <c r="Q350" s="21" t="str">
        <f aca="false">IF(OR('Campaign Overview'!A190="",M350=0),"",P350/M350)</f>
        <v/>
      </c>
    </row>
    <row r="351" customFormat="false" ht="15" hidden="false" customHeight="false" outlineLevel="0" collapsed="false">
      <c r="K351" s="0" t="str">
        <f aca="false">IF('Campaign Overview'!A191="","",'Campaign Overview'!A191)</f>
        <v/>
      </c>
      <c r="L351" s="0" t="str">
        <f aca="false">IF('Campaign Overview'!A191="","",'Campaign Overview'!B191)</f>
        <v/>
      </c>
      <c r="M351" s="0" t="str">
        <f aca="false">IF('Campaign Overview'!A191="","",COUNTIFS('Raw SmartLead Replies'!A:A,'Campaign Overview'!A191))</f>
        <v/>
      </c>
      <c r="N351" s="0" t="str">
        <f aca="false">IF('Campaign Overview'!A191="","",COUNTIFS('Raw SmartLead Replies'!A:A,'Campaign Overview'!A191,'Raw SmartLead Replies'!G:G,"Interested"))</f>
        <v/>
      </c>
      <c r="O351" s="0" t="str">
        <f aca="false">IF('Campaign Overview'!A191="","",COUNTIFS('Raw GHL Data'!C:C,'Campaign Overview'!A191,'Raw GHL Data'!E:E,"&lt;&gt;"))</f>
        <v/>
      </c>
      <c r="P351" s="0" t="str">
        <f aca="false">IF('Campaign Overview'!A191="","",COUNTIFS('Raw GHL Data'!C:C,'Campaign Overview'!A191,'Raw GHL Data'!H:H,"&lt;&gt;"))</f>
        <v/>
      </c>
      <c r="Q351" s="21" t="str">
        <f aca="false">IF(OR('Campaign Overview'!A191="",M351=0),"",P351/M351)</f>
        <v/>
      </c>
    </row>
    <row r="352" customFormat="false" ht="15" hidden="false" customHeight="false" outlineLevel="0" collapsed="false">
      <c r="K352" s="0" t="str">
        <f aca="false">IF('Campaign Overview'!A192="","",'Campaign Overview'!A192)</f>
        <v/>
      </c>
      <c r="L352" s="0" t="str">
        <f aca="false">IF('Campaign Overview'!A192="","",'Campaign Overview'!B192)</f>
        <v/>
      </c>
      <c r="M352" s="0" t="str">
        <f aca="false">IF('Campaign Overview'!A192="","",COUNTIFS('Raw SmartLead Replies'!A:A,'Campaign Overview'!A192))</f>
        <v/>
      </c>
      <c r="N352" s="0" t="str">
        <f aca="false">IF('Campaign Overview'!A192="","",COUNTIFS('Raw SmartLead Replies'!A:A,'Campaign Overview'!A192,'Raw SmartLead Replies'!G:G,"Interested"))</f>
        <v/>
      </c>
      <c r="O352" s="0" t="str">
        <f aca="false">IF('Campaign Overview'!A192="","",COUNTIFS('Raw GHL Data'!C:C,'Campaign Overview'!A192,'Raw GHL Data'!E:E,"&lt;&gt;"))</f>
        <v/>
      </c>
      <c r="P352" s="0" t="str">
        <f aca="false">IF('Campaign Overview'!A192="","",COUNTIFS('Raw GHL Data'!C:C,'Campaign Overview'!A192,'Raw GHL Data'!H:H,"&lt;&gt;"))</f>
        <v/>
      </c>
      <c r="Q352" s="21" t="str">
        <f aca="false">IF(OR('Campaign Overview'!A192="",M352=0),"",P352/M352)</f>
        <v/>
      </c>
    </row>
    <row r="353" customFormat="false" ht="15" hidden="false" customHeight="false" outlineLevel="0" collapsed="false">
      <c r="K353" s="0" t="str">
        <f aca="false">IF('Campaign Overview'!A193="","",'Campaign Overview'!A193)</f>
        <v/>
      </c>
      <c r="L353" s="0" t="str">
        <f aca="false">IF('Campaign Overview'!A193="","",'Campaign Overview'!B193)</f>
        <v/>
      </c>
      <c r="M353" s="0" t="str">
        <f aca="false">IF('Campaign Overview'!A193="","",COUNTIFS('Raw SmartLead Replies'!A:A,'Campaign Overview'!A193))</f>
        <v/>
      </c>
      <c r="N353" s="0" t="str">
        <f aca="false">IF('Campaign Overview'!A193="","",COUNTIFS('Raw SmartLead Replies'!A:A,'Campaign Overview'!A193,'Raw SmartLead Replies'!G:G,"Interested"))</f>
        <v/>
      </c>
      <c r="O353" s="0" t="str">
        <f aca="false">IF('Campaign Overview'!A193="","",COUNTIFS('Raw GHL Data'!C:C,'Campaign Overview'!A193,'Raw GHL Data'!E:E,"&lt;&gt;"))</f>
        <v/>
      </c>
      <c r="P353" s="0" t="str">
        <f aca="false">IF('Campaign Overview'!A193="","",COUNTIFS('Raw GHL Data'!C:C,'Campaign Overview'!A193,'Raw GHL Data'!H:H,"&lt;&gt;"))</f>
        <v/>
      </c>
      <c r="Q353" s="21" t="str">
        <f aca="false">IF(OR('Campaign Overview'!A193="",M353=0),"",P353/M353)</f>
        <v/>
      </c>
    </row>
    <row r="354" customFormat="false" ht="15" hidden="false" customHeight="false" outlineLevel="0" collapsed="false">
      <c r="K354" s="0" t="str">
        <f aca="false">IF('Campaign Overview'!A194="","",'Campaign Overview'!A194)</f>
        <v/>
      </c>
      <c r="L354" s="0" t="str">
        <f aca="false">IF('Campaign Overview'!A194="","",'Campaign Overview'!B194)</f>
        <v/>
      </c>
      <c r="M354" s="0" t="str">
        <f aca="false">IF('Campaign Overview'!A194="","",COUNTIFS('Raw SmartLead Replies'!A:A,'Campaign Overview'!A194))</f>
        <v/>
      </c>
      <c r="N354" s="0" t="str">
        <f aca="false">IF('Campaign Overview'!A194="","",COUNTIFS('Raw SmartLead Replies'!A:A,'Campaign Overview'!A194,'Raw SmartLead Replies'!G:G,"Interested"))</f>
        <v/>
      </c>
      <c r="O354" s="0" t="str">
        <f aca="false">IF('Campaign Overview'!A194="","",COUNTIFS('Raw GHL Data'!C:C,'Campaign Overview'!A194,'Raw GHL Data'!E:E,"&lt;&gt;"))</f>
        <v/>
      </c>
      <c r="P354" s="0" t="str">
        <f aca="false">IF('Campaign Overview'!A194="","",COUNTIFS('Raw GHL Data'!C:C,'Campaign Overview'!A194,'Raw GHL Data'!H:H,"&lt;&gt;"))</f>
        <v/>
      </c>
      <c r="Q354" s="21" t="str">
        <f aca="false">IF(OR('Campaign Overview'!A194="",M354=0),"",P354/M354)</f>
        <v/>
      </c>
    </row>
    <row r="355" customFormat="false" ht="15" hidden="false" customHeight="false" outlineLevel="0" collapsed="false">
      <c r="K355" s="0" t="str">
        <f aca="false">IF('Campaign Overview'!A195="","",'Campaign Overview'!A195)</f>
        <v/>
      </c>
      <c r="L355" s="0" t="str">
        <f aca="false">IF('Campaign Overview'!A195="","",'Campaign Overview'!B195)</f>
        <v/>
      </c>
      <c r="M355" s="0" t="str">
        <f aca="false">IF('Campaign Overview'!A195="","",COUNTIFS('Raw SmartLead Replies'!A:A,'Campaign Overview'!A195))</f>
        <v/>
      </c>
      <c r="N355" s="0" t="str">
        <f aca="false">IF('Campaign Overview'!A195="","",COUNTIFS('Raw SmartLead Replies'!A:A,'Campaign Overview'!A195,'Raw SmartLead Replies'!G:G,"Interested"))</f>
        <v/>
      </c>
      <c r="O355" s="0" t="str">
        <f aca="false">IF('Campaign Overview'!A195="","",COUNTIFS('Raw GHL Data'!C:C,'Campaign Overview'!A195,'Raw GHL Data'!E:E,"&lt;&gt;"))</f>
        <v/>
      </c>
      <c r="P355" s="0" t="str">
        <f aca="false">IF('Campaign Overview'!A195="","",COUNTIFS('Raw GHL Data'!C:C,'Campaign Overview'!A195,'Raw GHL Data'!H:H,"&lt;&gt;"))</f>
        <v/>
      </c>
      <c r="Q355" s="21" t="str">
        <f aca="false">IF(OR('Campaign Overview'!A195="",M355=0),"",P355/M355)</f>
        <v/>
      </c>
    </row>
    <row r="356" customFormat="false" ht="15" hidden="false" customHeight="false" outlineLevel="0" collapsed="false">
      <c r="K356" s="0" t="str">
        <f aca="false">IF('Campaign Overview'!A196="","",'Campaign Overview'!A196)</f>
        <v/>
      </c>
      <c r="L356" s="0" t="str">
        <f aca="false">IF('Campaign Overview'!A196="","",'Campaign Overview'!B196)</f>
        <v/>
      </c>
      <c r="M356" s="0" t="str">
        <f aca="false">IF('Campaign Overview'!A196="","",COUNTIFS('Raw SmartLead Replies'!A:A,'Campaign Overview'!A196))</f>
        <v/>
      </c>
      <c r="N356" s="0" t="str">
        <f aca="false">IF('Campaign Overview'!A196="","",COUNTIFS('Raw SmartLead Replies'!A:A,'Campaign Overview'!A196,'Raw SmartLead Replies'!G:G,"Interested"))</f>
        <v/>
      </c>
      <c r="O356" s="0" t="str">
        <f aca="false">IF('Campaign Overview'!A196="","",COUNTIFS('Raw GHL Data'!C:C,'Campaign Overview'!A196,'Raw GHL Data'!E:E,"&lt;&gt;"))</f>
        <v/>
      </c>
      <c r="P356" s="0" t="str">
        <f aca="false">IF('Campaign Overview'!A196="","",COUNTIFS('Raw GHL Data'!C:C,'Campaign Overview'!A196,'Raw GHL Data'!H:H,"&lt;&gt;"))</f>
        <v/>
      </c>
      <c r="Q356" s="21" t="str">
        <f aca="false">IF(OR('Campaign Overview'!A196="",M356=0),"",P356/M356)</f>
        <v/>
      </c>
    </row>
    <row r="357" customFormat="false" ht="15" hidden="false" customHeight="false" outlineLevel="0" collapsed="false">
      <c r="K357" s="0" t="str">
        <f aca="false">IF('Campaign Overview'!A197="","",'Campaign Overview'!A197)</f>
        <v/>
      </c>
      <c r="L357" s="0" t="str">
        <f aca="false">IF('Campaign Overview'!A197="","",'Campaign Overview'!B197)</f>
        <v/>
      </c>
      <c r="M357" s="0" t="str">
        <f aca="false">IF('Campaign Overview'!A197="","",COUNTIFS('Raw SmartLead Replies'!A:A,'Campaign Overview'!A197))</f>
        <v/>
      </c>
      <c r="N357" s="0" t="str">
        <f aca="false">IF('Campaign Overview'!A197="","",COUNTIFS('Raw SmartLead Replies'!A:A,'Campaign Overview'!A197,'Raw SmartLead Replies'!G:G,"Interested"))</f>
        <v/>
      </c>
      <c r="O357" s="0" t="str">
        <f aca="false">IF('Campaign Overview'!A197="","",COUNTIFS('Raw GHL Data'!C:C,'Campaign Overview'!A197,'Raw GHL Data'!E:E,"&lt;&gt;"))</f>
        <v/>
      </c>
      <c r="P357" s="0" t="str">
        <f aca="false">IF('Campaign Overview'!A197="","",COUNTIFS('Raw GHL Data'!C:C,'Campaign Overview'!A197,'Raw GHL Data'!H:H,"&lt;&gt;"))</f>
        <v/>
      </c>
      <c r="Q357" s="21" t="str">
        <f aca="false">IF(OR('Campaign Overview'!A197="",M357=0),"",P357/M357)</f>
        <v/>
      </c>
    </row>
    <row r="358" customFormat="false" ht="15" hidden="false" customHeight="false" outlineLevel="0" collapsed="false">
      <c r="K358" s="0" t="str">
        <f aca="false">IF('Campaign Overview'!A198="","",'Campaign Overview'!A198)</f>
        <v/>
      </c>
      <c r="L358" s="0" t="str">
        <f aca="false">IF('Campaign Overview'!A198="","",'Campaign Overview'!B198)</f>
        <v/>
      </c>
      <c r="M358" s="0" t="str">
        <f aca="false">IF('Campaign Overview'!A198="","",COUNTIFS('Raw SmartLead Replies'!A:A,'Campaign Overview'!A198))</f>
        <v/>
      </c>
      <c r="N358" s="0" t="str">
        <f aca="false">IF('Campaign Overview'!A198="","",COUNTIFS('Raw SmartLead Replies'!A:A,'Campaign Overview'!A198,'Raw SmartLead Replies'!G:G,"Interested"))</f>
        <v/>
      </c>
      <c r="O358" s="0" t="str">
        <f aca="false">IF('Campaign Overview'!A198="","",COUNTIFS('Raw GHL Data'!C:C,'Campaign Overview'!A198,'Raw GHL Data'!E:E,"&lt;&gt;"))</f>
        <v/>
      </c>
      <c r="P358" s="0" t="str">
        <f aca="false">IF('Campaign Overview'!A198="","",COUNTIFS('Raw GHL Data'!C:C,'Campaign Overview'!A198,'Raw GHL Data'!H:H,"&lt;&gt;"))</f>
        <v/>
      </c>
      <c r="Q358" s="21" t="str">
        <f aca="false">IF(OR('Campaign Overview'!A198="",M358=0),"",P358/M358)</f>
        <v/>
      </c>
    </row>
    <row r="359" customFormat="false" ht="15" hidden="false" customHeight="false" outlineLevel="0" collapsed="false">
      <c r="K359" s="0" t="str">
        <f aca="false">IF('Campaign Overview'!A199="","",'Campaign Overview'!A199)</f>
        <v/>
      </c>
      <c r="L359" s="0" t="str">
        <f aca="false">IF('Campaign Overview'!A199="","",'Campaign Overview'!B199)</f>
        <v/>
      </c>
      <c r="M359" s="0" t="str">
        <f aca="false">IF('Campaign Overview'!A199="","",COUNTIFS('Raw SmartLead Replies'!A:A,'Campaign Overview'!A199))</f>
        <v/>
      </c>
      <c r="N359" s="0" t="str">
        <f aca="false">IF('Campaign Overview'!A199="","",COUNTIFS('Raw SmartLead Replies'!A:A,'Campaign Overview'!A199,'Raw SmartLead Replies'!G:G,"Interested"))</f>
        <v/>
      </c>
      <c r="O359" s="0" t="str">
        <f aca="false">IF('Campaign Overview'!A199="","",COUNTIFS('Raw GHL Data'!C:C,'Campaign Overview'!A199,'Raw GHL Data'!E:E,"&lt;&gt;"))</f>
        <v/>
      </c>
      <c r="P359" s="0" t="str">
        <f aca="false">IF('Campaign Overview'!A199="","",COUNTIFS('Raw GHL Data'!C:C,'Campaign Overview'!A199,'Raw GHL Data'!H:H,"&lt;&gt;"))</f>
        <v/>
      </c>
      <c r="Q359" s="21" t="str">
        <f aca="false">IF(OR('Campaign Overview'!A199="",M359=0),"",P359/M359)</f>
        <v/>
      </c>
    </row>
    <row r="360" customFormat="false" ht="15" hidden="false" customHeight="false" outlineLevel="0" collapsed="false">
      <c r="K360" s="0" t="str">
        <f aca="false">IF('Campaign Overview'!A200="","",'Campaign Overview'!A200)</f>
        <v/>
      </c>
      <c r="L360" s="0" t="str">
        <f aca="false">IF('Campaign Overview'!A200="","",'Campaign Overview'!B200)</f>
        <v/>
      </c>
      <c r="M360" s="0" t="str">
        <f aca="false">IF('Campaign Overview'!A200="","",COUNTIFS('Raw SmartLead Replies'!A:A,'Campaign Overview'!A200))</f>
        <v/>
      </c>
      <c r="N360" s="0" t="str">
        <f aca="false">IF('Campaign Overview'!A200="","",COUNTIFS('Raw SmartLead Replies'!A:A,'Campaign Overview'!A200,'Raw SmartLead Replies'!G:G,"Interested"))</f>
        <v/>
      </c>
      <c r="O360" s="0" t="str">
        <f aca="false">IF('Campaign Overview'!A200="","",COUNTIFS('Raw GHL Data'!C:C,'Campaign Overview'!A200,'Raw GHL Data'!E:E,"&lt;&gt;"))</f>
        <v/>
      </c>
      <c r="P360" s="0" t="str">
        <f aca="false">IF('Campaign Overview'!A200="","",COUNTIFS('Raw GHL Data'!C:C,'Campaign Overview'!A200,'Raw GHL Data'!H:H,"&lt;&gt;"))</f>
        <v/>
      </c>
      <c r="Q360" s="21" t="str">
        <f aca="false">IF(OR('Campaign Overview'!A200="",M360=0),"",P360/M360)</f>
        <v/>
      </c>
    </row>
    <row r="361" customFormat="false" ht="15" hidden="false" customHeight="false" outlineLevel="0" collapsed="false">
      <c r="K361" s="0" t="str">
        <f aca="false">IF('Campaign Overview'!A201="","",'Campaign Overview'!A201)</f>
        <v/>
      </c>
      <c r="L361" s="0" t="str">
        <f aca="false">IF('Campaign Overview'!A201="","",'Campaign Overview'!B201)</f>
        <v/>
      </c>
      <c r="M361" s="0" t="str">
        <f aca="false">IF('Campaign Overview'!A201="","",COUNTIFS('Raw SmartLead Replies'!A:A,'Campaign Overview'!A201))</f>
        <v/>
      </c>
      <c r="N361" s="0" t="str">
        <f aca="false">IF('Campaign Overview'!A201="","",COUNTIFS('Raw SmartLead Replies'!A:A,'Campaign Overview'!A201,'Raw SmartLead Replies'!G:G,"Interested"))</f>
        <v/>
      </c>
      <c r="O361" s="0" t="str">
        <f aca="false">IF('Campaign Overview'!A201="","",COUNTIFS('Raw GHL Data'!C:C,'Campaign Overview'!A201,'Raw GHL Data'!E:E,"&lt;&gt;"))</f>
        <v/>
      </c>
      <c r="P361" s="0" t="str">
        <f aca="false">IF('Campaign Overview'!A201="","",COUNTIFS('Raw GHL Data'!C:C,'Campaign Overview'!A201,'Raw GHL Data'!H:H,"&lt;&gt;"))</f>
        <v/>
      </c>
      <c r="Q361" s="21" t="str">
        <f aca="false">IF(OR('Campaign Overview'!A201="",M361=0),"",P361/M361)</f>
        <v/>
      </c>
    </row>
    <row r="362" customFormat="false" ht="15" hidden="false" customHeight="false" outlineLevel="0" collapsed="false">
      <c r="K362" s="0" t="str">
        <f aca="false">IF('Campaign Overview'!A202="","",'Campaign Overview'!A202)</f>
        <v/>
      </c>
      <c r="L362" s="0" t="str">
        <f aca="false">IF('Campaign Overview'!A202="","",'Campaign Overview'!B202)</f>
        <v/>
      </c>
      <c r="M362" s="0" t="str">
        <f aca="false">IF('Campaign Overview'!A202="","",COUNTIFS('Raw SmartLead Replies'!A:A,'Campaign Overview'!A202))</f>
        <v/>
      </c>
      <c r="N362" s="0" t="str">
        <f aca="false">IF('Campaign Overview'!A202="","",COUNTIFS('Raw SmartLead Replies'!A:A,'Campaign Overview'!A202,'Raw SmartLead Replies'!G:G,"Interested"))</f>
        <v/>
      </c>
      <c r="O362" s="0" t="str">
        <f aca="false">IF('Campaign Overview'!A202="","",COUNTIFS('Raw GHL Data'!C:C,'Campaign Overview'!A202,'Raw GHL Data'!E:E,"&lt;&gt;"))</f>
        <v/>
      </c>
      <c r="P362" s="0" t="str">
        <f aca="false">IF('Campaign Overview'!A202="","",COUNTIFS('Raw GHL Data'!C:C,'Campaign Overview'!A202,'Raw GHL Data'!H:H,"&lt;&gt;"))</f>
        <v/>
      </c>
      <c r="Q362" s="21" t="str">
        <f aca="false">IF(OR('Campaign Overview'!A202="",M362=0),"",P362/M362)</f>
        <v/>
      </c>
    </row>
    <row r="363" customFormat="false" ht="15" hidden="false" customHeight="false" outlineLevel="0" collapsed="false">
      <c r="K363" s="0" t="str">
        <f aca="false">IF('Campaign Overview'!A203="","",'Campaign Overview'!A203)</f>
        <v/>
      </c>
      <c r="L363" s="0" t="str">
        <f aca="false">IF('Campaign Overview'!A203="","",'Campaign Overview'!B203)</f>
        <v/>
      </c>
      <c r="M363" s="0" t="str">
        <f aca="false">IF('Campaign Overview'!A203="","",COUNTIFS('Raw SmartLead Replies'!A:A,'Campaign Overview'!A203))</f>
        <v/>
      </c>
      <c r="N363" s="0" t="str">
        <f aca="false">IF('Campaign Overview'!A203="","",COUNTIFS('Raw SmartLead Replies'!A:A,'Campaign Overview'!A203,'Raw SmartLead Replies'!G:G,"Interested"))</f>
        <v/>
      </c>
      <c r="O363" s="0" t="str">
        <f aca="false">IF('Campaign Overview'!A203="","",COUNTIFS('Raw GHL Data'!C:C,'Campaign Overview'!A203,'Raw GHL Data'!E:E,"&lt;&gt;"))</f>
        <v/>
      </c>
      <c r="P363" s="0" t="str">
        <f aca="false">IF('Campaign Overview'!A203="","",COUNTIFS('Raw GHL Data'!C:C,'Campaign Overview'!A203,'Raw GHL Data'!H:H,"&lt;&gt;"))</f>
        <v/>
      </c>
      <c r="Q363" s="21" t="str">
        <f aca="false">IF(OR('Campaign Overview'!A203="",M363=0),"",P363/M363)</f>
        <v/>
      </c>
    </row>
    <row r="364" customFormat="false" ht="15" hidden="false" customHeight="false" outlineLevel="0" collapsed="false">
      <c r="K364" s="0" t="str">
        <f aca="false">IF('Campaign Overview'!A204="","",'Campaign Overview'!A204)</f>
        <v/>
      </c>
      <c r="L364" s="0" t="str">
        <f aca="false">IF('Campaign Overview'!A204="","",'Campaign Overview'!B204)</f>
        <v/>
      </c>
      <c r="M364" s="0" t="str">
        <f aca="false">IF('Campaign Overview'!A204="","",COUNTIFS('Raw SmartLead Replies'!A:A,'Campaign Overview'!A204))</f>
        <v/>
      </c>
      <c r="N364" s="0" t="str">
        <f aca="false">IF('Campaign Overview'!A204="","",COUNTIFS('Raw SmartLead Replies'!A:A,'Campaign Overview'!A204,'Raw SmartLead Replies'!G:G,"Interested"))</f>
        <v/>
      </c>
      <c r="O364" s="0" t="str">
        <f aca="false">IF('Campaign Overview'!A204="","",COUNTIFS('Raw GHL Data'!C:C,'Campaign Overview'!A204,'Raw GHL Data'!E:E,"&lt;&gt;"))</f>
        <v/>
      </c>
      <c r="P364" s="0" t="str">
        <f aca="false">IF('Campaign Overview'!A204="","",COUNTIFS('Raw GHL Data'!C:C,'Campaign Overview'!A204,'Raw GHL Data'!H:H,"&lt;&gt;"))</f>
        <v/>
      </c>
      <c r="Q364" s="21" t="str">
        <f aca="false">IF(OR('Campaign Overview'!A204="",M364=0),"",P364/M364)</f>
        <v/>
      </c>
    </row>
    <row r="365" customFormat="false" ht="15" hidden="false" customHeight="false" outlineLevel="0" collapsed="false">
      <c r="K365" s="0" t="str">
        <f aca="false">IF('Campaign Overview'!A205="","",'Campaign Overview'!A205)</f>
        <v/>
      </c>
      <c r="L365" s="0" t="str">
        <f aca="false">IF('Campaign Overview'!A205="","",'Campaign Overview'!B205)</f>
        <v/>
      </c>
      <c r="M365" s="0" t="str">
        <f aca="false">IF('Campaign Overview'!A205="","",COUNTIFS('Raw SmartLead Replies'!A:A,'Campaign Overview'!A205))</f>
        <v/>
      </c>
      <c r="N365" s="0" t="str">
        <f aca="false">IF('Campaign Overview'!A205="","",COUNTIFS('Raw SmartLead Replies'!A:A,'Campaign Overview'!A205,'Raw SmartLead Replies'!G:G,"Interested"))</f>
        <v/>
      </c>
      <c r="O365" s="0" t="str">
        <f aca="false">IF('Campaign Overview'!A205="","",COUNTIFS('Raw GHL Data'!C:C,'Campaign Overview'!A205,'Raw GHL Data'!E:E,"&lt;&gt;"))</f>
        <v/>
      </c>
      <c r="P365" s="0" t="str">
        <f aca="false">IF('Campaign Overview'!A205="","",COUNTIFS('Raw GHL Data'!C:C,'Campaign Overview'!A205,'Raw GHL Data'!H:H,"&lt;&gt;"))</f>
        <v/>
      </c>
      <c r="Q365" s="21" t="str">
        <f aca="false">IF(OR('Campaign Overview'!A205="",M365=0),"",P365/M365)</f>
        <v/>
      </c>
    </row>
    <row r="366" customFormat="false" ht="15" hidden="false" customHeight="false" outlineLevel="0" collapsed="false">
      <c r="K366" s="0" t="str">
        <f aca="false">IF('Campaign Overview'!A206="","",'Campaign Overview'!A206)</f>
        <v/>
      </c>
      <c r="L366" s="0" t="str">
        <f aca="false">IF('Campaign Overview'!A206="","",'Campaign Overview'!B206)</f>
        <v/>
      </c>
      <c r="M366" s="0" t="str">
        <f aca="false">IF('Campaign Overview'!A206="","",COUNTIFS('Raw SmartLead Replies'!A:A,'Campaign Overview'!A206))</f>
        <v/>
      </c>
      <c r="N366" s="0" t="str">
        <f aca="false">IF('Campaign Overview'!A206="","",COUNTIFS('Raw SmartLead Replies'!A:A,'Campaign Overview'!A206,'Raw SmartLead Replies'!G:G,"Interested"))</f>
        <v/>
      </c>
      <c r="O366" s="0" t="str">
        <f aca="false">IF('Campaign Overview'!A206="","",COUNTIFS('Raw GHL Data'!C:C,'Campaign Overview'!A206,'Raw GHL Data'!E:E,"&lt;&gt;"))</f>
        <v/>
      </c>
      <c r="P366" s="0" t="str">
        <f aca="false">IF('Campaign Overview'!A206="","",COUNTIFS('Raw GHL Data'!C:C,'Campaign Overview'!A206,'Raw GHL Data'!H:H,"&lt;&gt;"))</f>
        <v/>
      </c>
      <c r="Q366" s="21" t="str">
        <f aca="false">IF(OR('Campaign Overview'!A206="",M366=0),"",P366/M366)</f>
        <v/>
      </c>
    </row>
    <row r="367" customFormat="false" ht="15" hidden="false" customHeight="false" outlineLevel="0" collapsed="false">
      <c r="K367" s="0" t="str">
        <f aca="false">IF('Campaign Overview'!A207="","",'Campaign Overview'!A207)</f>
        <v/>
      </c>
      <c r="L367" s="0" t="str">
        <f aca="false">IF('Campaign Overview'!A207="","",'Campaign Overview'!B207)</f>
        <v/>
      </c>
      <c r="M367" s="0" t="str">
        <f aca="false">IF('Campaign Overview'!A207="","",COUNTIFS('Raw SmartLead Replies'!A:A,'Campaign Overview'!A207))</f>
        <v/>
      </c>
      <c r="N367" s="0" t="str">
        <f aca="false">IF('Campaign Overview'!A207="","",COUNTIFS('Raw SmartLead Replies'!A:A,'Campaign Overview'!A207,'Raw SmartLead Replies'!G:G,"Interested"))</f>
        <v/>
      </c>
      <c r="O367" s="0" t="str">
        <f aca="false">IF('Campaign Overview'!A207="","",COUNTIFS('Raw GHL Data'!C:C,'Campaign Overview'!A207,'Raw GHL Data'!E:E,"&lt;&gt;"))</f>
        <v/>
      </c>
      <c r="P367" s="0" t="str">
        <f aca="false">IF('Campaign Overview'!A207="","",COUNTIFS('Raw GHL Data'!C:C,'Campaign Overview'!A207,'Raw GHL Data'!H:H,"&lt;&gt;"))</f>
        <v/>
      </c>
      <c r="Q367" s="21" t="str">
        <f aca="false">IF(OR('Campaign Overview'!A207="",M367=0),"",P367/M367)</f>
        <v/>
      </c>
    </row>
    <row r="368" customFormat="false" ht="15" hidden="false" customHeight="false" outlineLevel="0" collapsed="false">
      <c r="K368" s="0" t="str">
        <f aca="false">IF('Campaign Overview'!A208="","",'Campaign Overview'!A208)</f>
        <v/>
      </c>
      <c r="L368" s="0" t="str">
        <f aca="false">IF('Campaign Overview'!A208="","",'Campaign Overview'!B208)</f>
        <v/>
      </c>
      <c r="M368" s="0" t="str">
        <f aca="false">IF('Campaign Overview'!A208="","",COUNTIFS('Raw SmartLead Replies'!A:A,'Campaign Overview'!A208))</f>
        <v/>
      </c>
      <c r="N368" s="0" t="str">
        <f aca="false">IF('Campaign Overview'!A208="","",COUNTIFS('Raw SmartLead Replies'!A:A,'Campaign Overview'!A208,'Raw SmartLead Replies'!G:G,"Interested"))</f>
        <v/>
      </c>
      <c r="O368" s="0" t="str">
        <f aca="false">IF('Campaign Overview'!A208="","",COUNTIFS('Raw GHL Data'!C:C,'Campaign Overview'!A208,'Raw GHL Data'!E:E,"&lt;&gt;"))</f>
        <v/>
      </c>
      <c r="P368" s="0" t="str">
        <f aca="false">IF('Campaign Overview'!A208="","",COUNTIFS('Raw GHL Data'!C:C,'Campaign Overview'!A208,'Raw GHL Data'!H:H,"&lt;&gt;"))</f>
        <v/>
      </c>
      <c r="Q368" s="21" t="str">
        <f aca="false">IF(OR('Campaign Overview'!A208="",M368=0),"",P368/M368)</f>
        <v/>
      </c>
    </row>
    <row r="369" customFormat="false" ht="15" hidden="false" customHeight="false" outlineLevel="0" collapsed="false">
      <c r="K369" s="0" t="str">
        <f aca="false">IF('Campaign Overview'!A209="","",'Campaign Overview'!A209)</f>
        <v/>
      </c>
      <c r="L369" s="0" t="str">
        <f aca="false">IF('Campaign Overview'!A209="","",'Campaign Overview'!B209)</f>
        <v/>
      </c>
      <c r="M369" s="0" t="str">
        <f aca="false">IF('Campaign Overview'!A209="","",COUNTIFS('Raw SmartLead Replies'!A:A,'Campaign Overview'!A209))</f>
        <v/>
      </c>
      <c r="N369" s="0" t="str">
        <f aca="false">IF('Campaign Overview'!A209="","",COUNTIFS('Raw SmartLead Replies'!A:A,'Campaign Overview'!A209,'Raw SmartLead Replies'!G:G,"Interested"))</f>
        <v/>
      </c>
      <c r="O369" s="0" t="str">
        <f aca="false">IF('Campaign Overview'!A209="","",COUNTIFS('Raw GHL Data'!C:C,'Campaign Overview'!A209,'Raw GHL Data'!E:E,"&lt;&gt;"))</f>
        <v/>
      </c>
      <c r="P369" s="0" t="str">
        <f aca="false">IF('Campaign Overview'!A209="","",COUNTIFS('Raw GHL Data'!C:C,'Campaign Overview'!A209,'Raw GHL Data'!H:H,"&lt;&gt;"))</f>
        <v/>
      </c>
      <c r="Q369" s="21" t="str">
        <f aca="false">IF(OR('Campaign Overview'!A209="",M369=0),"",P369/M369)</f>
        <v/>
      </c>
    </row>
    <row r="370" customFormat="false" ht="15" hidden="false" customHeight="false" outlineLevel="0" collapsed="false">
      <c r="K370" s="0" t="str">
        <f aca="false">IF('Campaign Overview'!A210="","",'Campaign Overview'!A210)</f>
        <v/>
      </c>
      <c r="L370" s="0" t="str">
        <f aca="false">IF('Campaign Overview'!A210="","",'Campaign Overview'!B210)</f>
        <v/>
      </c>
      <c r="M370" s="0" t="str">
        <f aca="false">IF('Campaign Overview'!A210="","",COUNTIFS('Raw SmartLead Replies'!A:A,'Campaign Overview'!A210))</f>
        <v/>
      </c>
      <c r="N370" s="0" t="str">
        <f aca="false">IF('Campaign Overview'!A210="","",COUNTIFS('Raw SmartLead Replies'!A:A,'Campaign Overview'!A210,'Raw SmartLead Replies'!G:G,"Interested"))</f>
        <v/>
      </c>
      <c r="O370" s="0" t="str">
        <f aca="false">IF('Campaign Overview'!A210="","",COUNTIFS('Raw GHL Data'!C:C,'Campaign Overview'!A210,'Raw GHL Data'!E:E,"&lt;&gt;"))</f>
        <v/>
      </c>
      <c r="P370" s="0" t="str">
        <f aca="false">IF('Campaign Overview'!A210="","",COUNTIFS('Raw GHL Data'!C:C,'Campaign Overview'!A210,'Raw GHL Data'!H:H,"&lt;&gt;"))</f>
        <v/>
      </c>
      <c r="Q370" s="21" t="str">
        <f aca="false">IF(OR('Campaign Overview'!A210="",M370=0),"",P370/M370)</f>
        <v/>
      </c>
    </row>
    <row r="371" customFormat="false" ht="15" hidden="false" customHeight="false" outlineLevel="0" collapsed="false">
      <c r="K371" s="0" t="str">
        <f aca="false">IF('Campaign Overview'!A211="","",'Campaign Overview'!A211)</f>
        <v/>
      </c>
      <c r="L371" s="0" t="str">
        <f aca="false">IF('Campaign Overview'!A211="","",'Campaign Overview'!B211)</f>
        <v/>
      </c>
      <c r="M371" s="0" t="str">
        <f aca="false">IF('Campaign Overview'!A211="","",COUNTIFS('Raw SmartLead Replies'!A:A,'Campaign Overview'!A211))</f>
        <v/>
      </c>
      <c r="N371" s="0" t="str">
        <f aca="false">IF('Campaign Overview'!A211="","",COUNTIFS('Raw SmartLead Replies'!A:A,'Campaign Overview'!A211,'Raw SmartLead Replies'!G:G,"Interested"))</f>
        <v/>
      </c>
      <c r="O371" s="0" t="str">
        <f aca="false">IF('Campaign Overview'!A211="","",COUNTIFS('Raw GHL Data'!C:C,'Campaign Overview'!A211,'Raw GHL Data'!E:E,"&lt;&gt;"))</f>
        <v/>
      </c>
      <c r="P371" s="0" t="str">
        <f aca="false">IF('Campaign Overview'!A211="","",COUNTIFS('Raw GHL Data'!C:C,'Campaign Overview'!A211,'Raw GHL Data'!H:H,"&lt;&gt;"))</f>
        <v/>
      </c>
      <c r="Q371" s="21" t="str">
        <f aca="false">IF(OR('Campaign Overview'!A211="",M371=0),"",P371/M371)</f>
        <v/>
      </c>
    </row>
    <row r="372" customFormat="false" ht="15" hidden="false" customHeight="false" outlineLevel="0" collapsed="false">
      <c r="K372" s="0" t="str">
        <f aca="false">IF('Campaign Overview'!A212="","",'Campaign Overview'!A212)</f>
        <v/>
      </c>
      <c r="L372" s="0" t="str">
        <f aca="false">IF('Campaign Overview'!A212="","",'Campaign Overview'!B212)</f>
        <v/>
      </c>
      <c r="M372" s="0" t="str">
        <f aca="false">IF('Campaign Overview'!A212="","",COUNTIFS('Raw SmartLead Replies'!A:A,'Campaign Overview'!A212))</f>
        <v/>
      </c>
      <c r="N372" s="0" t="str">
        <f aca="false">IF('Campaign Overview'!A212="","",COUNTIFS('Raw SmartLead Replies'!A:A,'Campaign Overview'!A212,'Raw SmartLead Replies'!G:G,"Interested"))</f>
        <v/>
      </c>
      <c r="O372" s="0" t="str">
        <f aca="false">IF('Campaign Overview'!A212="","",COUNTIFS('Raw GHL Data'!C:C,'Campaign Overview'!A212,'Raw GHL Data'!E:E,"&lt;&gt;"))</f>
        <v/>
      </c>
      <c r="P372" s="0" t="str">
        <f aca="false">IF('Campaign Overview'!A212="","",COUNTIFS('Raw GHL Data'!C:C,'Campaign Overview'!A212,'Raw GHL Data'!H:H,"&lt;&gt;"))</f>
        <v/>
      </c>
      <c r="Q372" s="21" t="str">
        <f aca="false">IF(OR('Campaign Overview'!A212="",M372=0),"",P372/M372)</f>
        <v/>
      </c>
    </row>
    <row r="373" customFormat="false" ht="15" hidden="false" customHeight="false" outlineLevel="0" collapsed="false">
      <c r="K373" s="0" t="str">
        <f aca="false">IF('Campaign Overview'!A213="","",'Campaign Overview'!A213)</f>
        <v/>
      </c>
      <c r="L373" s="0" t="str">
        <f aca="false">IF('Campaign Overview'!A213="","",'Campaign Overview'!B213)</f>
        <v/>
      </c>
      <c r="M373" s="0" t="str">
        <f aca="false">IF('Campaign Overview'!A213="","",COUNTIFS('Raw SmartLead Replies'!A:A,'Campaign Overview'!A213))</f>
        <v/>
      </c>
      <c r="N373" s="0" t="str">
        <f aca="false">IF('Campaign Overview'!A213="","",COUNTIFS('Raw SmartLead Replies'!A:A,'Campaign Overview'!A213,'Raw SmartLead Replies'!G:G,"Interested"))</f>
        <v/>
      </c>
      <c r="O373" s="0" t="str">
        <f aca="false">IF('Campaign Overview'!A213="","",COUNTIFS('Raw GHL Data'!C:C,'Campaign Overview'!A213,'Raw GHL Data'!E:E,"&lt;&gt;"))</f>
        <v/>
      </c>
      <c r="P373" s="0" t="str">
        <f aca="false">IF('Campaign Overview'!A213="","",COUNTIFS('Raw GHL Data'!C:C,'Campaign Overview'!A213,'Raw GHL Data'!H:H,"&lt;&gt;"))</f>
        <v/>
      </c>
      <c r="Q373" s="21" t="str">
        <f aca="false">IF(OR('Campaign Overview'!A213="",M373=0),"",P373/M373)</f>
        <v/>
      </c>
    </row>
    <row r="374" customFormat="false" ht="15" hidden="false" customHeight="false" outlineLevel="0" collapsed="false">
      <c r="K374" s="0" t="str">
        <f aca="false">IF('Campaign Overview'!A214="","",'Campaign Overview'!A214)</f>
        <v/>
      </c>
      <c r="L374" s="0" t="str">
        <f aca="false">IF('Campaign Overview'!A214="","",'Campaign Overview'!B214)</f>
        <v/>
      </c>
      <c r="M374" s="0" t="str">
        <f aca="false">IF('Campaign Overview'!A214="","",COUNTIFS('Raw SmartLead Replies'!A:A,'Campaign Overview'!A214))</f>
        <v/>
      </c>
      <c r="N374" s="0" t="str">
        <f aca="false">IF('Campaign Overview'!A214="","",COUNTIFS('Raw SmartLead Replies'!A:A,'Campaign Overview'!A214,'Raw SmartLead Replies'!G:G,"Interested"))</f>
        <v/>
      </c>
      <c r="O374" s="0" t="str">
        <f aca="false">IF('Campaign Overview'!A214="","",COUNTIFS('Raw GHL Data'!C:C,'Campaign Overview'!A214,'Raw GHL Data'!E:E,"&lt;&gt;"))</f>
        <v/>
      </c>
      <c r="P374" s="0" t="str">
        <f aca="false">IF('Campaign Overview'!A214="","",COUNTIFS('Raw GHL Data'!C:C,'Campaign Overview'!A214,'Raw GHL Data'!H:H,"&lt;&gt;"))</f>
        <v/>
      </c>
      <c r="Q374" s="21" t="str">
        <f aca="false">IF(OR('Campaign Overview'!A214="",M374=0),"",P374/M374)</f>
        <v/>
      </c>
    </row>
    <row r="375" customFormat="false" ht="15" hidden="false" customHeight="false" outlineLevel="0" collapsed="false">
      <c r="K375" s="0" t="str">
        <f aca="false">IF('Campaign Overview'!A215="","",'Campaign Overview'!A215)</f>
        <v/>
      </c>
      <c r="L375" s="0" t="str">
        <f aca="false">IF('Campaign Overview'!A215="","",'Campaign Overview'!B215)</f>
        <v/>
      </c>
      <c r="M375" s="0" t="str">
        <f aca="false">IF('Campaign Overview'!A215="","",COUNTIFS('Raw SmartLead Replies'!A:A,'Campaign Overview'!A215))</f>
        <v/>
      </c>
      <c r="N375" s="0" t="str">
        <f aca="false">IF('Campaign Overview'!A215="","",COUNTIFS('Raw SmartLead Replies'!A:A,'Campaign Overview'!A215,'Raw SmartLead Replies'!G:G,"Interested"))</f>
        <v/>
      </c>
      <c r="O375" s="0" t="str">
        <f aca="false">IF('Campaign Overview'!A215="","",COUNTIFS('Raw GHL Data'!C:C,'Campaign Overview'!A215,'Raw GHL Data'!E:E,"&lt;&gt;"))</f>
        <v/>
      </c>
      <c r="P375" s="0" t="str">
        <f aca="false">IF('Campaign Overview'!A215="","",COUNTIFS('Raw GHL Data'!C:C,'Campaign Overview'!A215,'Raw GHL Data'!H:H,"&lt;&gt;"))</f>
        <v/>
      </c>
      <c r="Q375" s="21" t="str">
        <f aca="false">IF(OR('Campaign Overview'!A215="",M375=0),"",P375/M375)</f>
        <v/>
      </c>
    </row>
    <row r="376" customFormat="false" ht="15" hidden="false" customHeight="false" outlineLevel="0" collapsed="false">
      <c r="K376" s="0" t="str">
        <f aca="false">IF('Campaign Overview'!A216="","",'Campaign Overview'!A216)</f>
        <v/>
      </c>
      <c r="L376" s="0" t="str">
        <f aca="false">IF('Campaign Overview'!A216="","",'Campaign Overview'!B216)</f>
        <v/>
      </c>
      <c r="M376" s="0" t="str">
        <f aca="false">IF('Campaign Overview'!A216="","",COUNTIFS('Raw SmartLead Replies'!A:A,'Campaign Overview'!A216))</f>
        <v/>
      </c>
      <c r="N376" s="0" t="str">
        <f aca="false">IF('Campaign Overview'!A216="","",COUNTIFS('Raw SmartLead Replies'!A:A,'Campaign Overview'!A216,'Raw SmartLead Replies'!G:G,"Interested"))</f>
        <v/>
      </c>
      <c r="O376" s="0" t="str">
        <f aca="false">IF('Campaign Overview'!A216="","",COUNTIFS('Raw GHL Data'!C:C,'Campaign Overview'!A216,'Raw GHL Data'!E:E,"&lt;&gt;"))</f>
        <v/>
      </c>
      <c r="P376" s="0" t="str">
        <f aca="false">IF('Campaign Overview'!A216="","",COUNTIFS('Raw GHL Data'!C:C,'Campaign Overview'!A216,'Raw GHL Data'!H:H,"&lt;&gt;"))</f>
        <v/>
      </c>
      <c r="Q376" s="21" t="str">
        <f aca="false">IF(OR('Campaign Overview'!A216="",M376=0),"",P376/M376)</f>
        <v/>
      </c>
    </row>
    <row r="377" customFormat="false" ht="15" hidden="false" customHeight="false" outlineLevel="0" collapsed="false">
      <c r="K377" s="0" t="str">
        <f aca="false">IF('Campaign Overview'!A217="","",'Campaign Overview'!A217)</f>
        <v/>
      </c>
      <c r="L377" s="0" t="str">
        <f aca="false">IF('Campaign Overview'!A217="","",'Campaign Overview'!B217)</f>
        <v/>
      </c>
      <c r="M377" s="0" t="str">
        <f aca="false">IF('Campaign Overview'!A217="","",COUNTIFS('Raw SmartLead Replies'!A:A,'Campaign Overview'!A217))</f>
        <v/>
      </c>
      <c r="N377" s="0" t="str">
        <f aca="false">IF('Campaign Overview'!A217="","",COUNTIFS('Raw SmartLead Replies'!A:A,'Campaign Overview'!A217,'Raw SmartLead Replies'!G:G,"Interested"))</f>
        <v/>
      </c>
      <c r="O377" s="0" t="str">
        <f aca="false">IF('Campaign Overview'!A217="","",COUNTIFS('Raw GHL Data'!C:C,'Campaign Overview'!A217,'Raw GHL Data'!E:E,"&lt;&gt;"))</f>
        <v/>
      </c>
      <c r="P377" s="0" t="str">
        <f aca="false">IF('Campaign Overview'!A217="","",COUNTIFS('Raw GHL Data'!C:C,'Campaign Overview'!A217,'Raw GHL Data'!H:H,"&lt;&gt;"))</f>
        <v/>
      </c>
      <c r="Q377" s="21" t="str">
        <f aca="false">IF(OR('Campaign Overview'!A217="",M377=0),"",P377/M377)</f>
        <v/>
      </c>
    </row>
    <row r="378" customFormat="false" ht="15" hidden="false" customHeight="false" outlineLevel="0" collapsed="false">
      <c r="K378" s="0" t="str">
        <f aca="false">IF('Campaign Overview'!A218="","",'Campaign Overview'!A218)</f>
        <v/>
      </c>
      <c r="L378" s="0" t="str">
        <f aca="false">IF('Campaign Overview'!A218="","",'Campaign Overview'!B218)</f>
        <v/>
      </c>
      <c r="M378" s="0" t="str">
        <f aca="false">IF('Campaign Overview'!A218="","",COUNTIFS('Raw SmartLead Replies'!A:A,'Campaign Overview'!A218))</f>
        <v/>
      </c>
      <c r="N378" s="0" t="str">
        <f aca="false">IF('Campaign Overview'!A218="","",COUNTIFS('Raw SmartLead Replies'!A:A,'Campaign Overview'!A218,'Raw SmartLead Replies'!G:G,"Interested"))</f>
        <v/>
      </c>
      <c r="O378" s="0" t="str">
        <f aca="false">IF('Campaign Overview'!A218="","",COUNTIFS('Raw GHL Data'!C:C,'Campaign Overview'!A218,'Raw GHL Data'!E:E,"&lt;&gt;"))</f>
        <v/>
      </c>
      <c r="P378" s="0" t="str">
        <f aca="false">IF('Campaign Overview'!A218="","",COUNTIFS('Raw GHL Data'!C:C,'Campaign Overview'!A218,'Raw GHL Data'!H:H,"&lt;&gt;"))</f>
        <v/>
      </c>
      <c r="Q378" s="21" t="str">
        <f aca="false">IF(OR('Campaign Overview'!A218="",M378=0),"",P378/M378)</f>
        <v/>
      </c>
    </row>
    <row r="379" customFormat="false" ht="15" hidden="false" customHeight="false" outlineLevel="0" collapsed="false">
      <c r="K379" s="0" t="str">
        <f aca="false">IF('Campaign Overview'!A219="","",'Campaign Overview'!A219)</f>
        <v/>
      </c>
      <c r="L379" s="0" t="str">
        <f aca="false">IF('Campaign Overview'!A219="","",'Campaign Overview'!B219)</f>
        <v/>
      </c>
      <c r="M379" s="0" t="str">
        <f aca="false">IF('Campaign Overview'!A219="","",COUNTIFS('Raw SmartLead Replies'!A:A,'Campaign Overview'!A219))</f>
        <v/>
      </c>
      <c r="N379" s="0" t="str">
        <f aca="false">IF('Campaign Overview'!A219="","",COUNTIFS('Raw SmartLead Replies'!A:A,'Campaign Overview'!A219,'Raw SmartLead Replies'!G:G,"Interested"))</f>
        <v/>
      </c>
      <c r="O379" s="0" t="str">
        <f aca="false">IF('Campaign Overview'!A219="","",COUNTIFS('Raw GHL Data'!C:C,'Campaign Overview'!A219,'Raw GHL Data'!E:E,"&lt;&gt;"))</f>
        <v/>
      </c>
      <c r="P379" s="0" t="str">
        <f aca="false">IF('Campaign Overview'!A219="","",COUNTIFS('Raw GHL Data'!C:C,'Campaign Overview'!A219,'Raw GHL Data'!H:H,"&lt;&gt;"))</f>
        <v/>
      </c>
      <c r="Q379" s="21" t="str">
        <f aca="false">IF(OR('Campaign Overview'!A219="",M379=0),"",P379/M379)</f>
        <v/>
      </c>
    </row>
    <row r="380" customFormat="false" ht="15" hidden="false" customHeight="false" outlineLevel="0" collapsed="false">
      <c r="K380" s="0" t="str">
        <f aca="false">IF('Campaign Overview'!A220="","",'Campaign Overview'!A220)</f>
        <v/>
      </c>
      <c r="L380" s="0" t="str">
        <f aca="false">IF('Campaign Overview'!A220="","",'Campaign Overview'!B220)</f>
        <v/>
      </c>
      <c r="M380" s="0" t="str">
        <f aca="false">IF('Campaign Overview'!A220="","",COUNTIFS('Raw SmartLead Replies'!A:A,'Campaign Overview'!A220))</f>
        <v/>
      </c>
      <c r="N380" s="0" t="str">
        <f aca="false">IF('Campaign Overview'!A220="","",COUNTIFS('Raw SmartLead Replies'!A:A,'Campaign Overview'!A220,'Raw SmartLead Replies'!G:G,"Interested"))</f>
        <v/>
      </c>
      <c r="O380" s="0" t="str">
        <f aca="false">IF('Campaign Overview'!A220="","",COUNTIFS('Raw GHL Data'!C:C,'Campaign Overview'!A220,'Raw GHL Data'!E:E,"&lt;&gt;"))</f>
        <v/>
      </c>
      <c r="P380" s="0" t="str">
        <f aca="false">IF('Campaign Overview'!A220="","",COUNTIFS('Raw GHL Data'!C:C,'Campaign Overview'!A220,'Raw GHL Data'!H:H,"&lt;&gt;"))</f>
        <v/>
      </c>
      <c r="Q380" s="21" t="str">
        <f aca="false">IF(OR('Campaign Overview'!A220="",M380=0),"",P380/M380)</f>
        <v/>
      </c>
    </row>
    <row r="381" customFormat="false" ht="15" hidden="false" customHeight="false" outlineLevel="0" collapsed="false">
      <c r="K381" s="0" t="str">
        <f aca="false">IF('Campaign Overview'!A221="","",'Campaign Overview'!A221)</f>
        <v/>
      </c>
      <c r="L381" s="0" t="str">
        <f aca="false">IF('Campaign Overview'!A221="","",'Campaign Overview'!B221)</f>
        <v/>
      </c>
      <c r="M381" s="0" t="str">
        <f aca="false">IF('Campaign Overview'!A221="","",COUNTIFS('Raw SmartLead Replies'!A:A,'Campaign Overview'!A221))</f>
        <v/>
      </c>
      <c r="N381" s="0" t="str">
        <f aca="false">IF('Campaign Overview'!A221="","",COUNTIFS('Raw SmartLead Replies'!A:A,'Campaign Overview'!A221,'Raw SmartLead Replies'!G:G,"Interested"))</f>
        <v/>
      </c>
      <c r="O381" s="0" t="str">
        <f aca="false">IF('Campaign Overview'!A221="","",COUNTIFS('Raw GHL Data'!C:C,'Campaign Overview'!A221,'Raw GHL Data'!E:E,"&lt;&gt;"))</f>
        <v/>
      </c>
      <c r="P381" s="0" t="str">
        <f aca="false">IF('Campaign Overview'!A221="","",COUNTIFS('Raw GHL Data'!C:C,'Campaign Overview'!A221,'Raw GHL Data'!H:H,"&lt;&gt;"))</f>
        <v/>
      </c>
      <c r="Q381" s="21" t="str">
        <f aca="false">IF(OR('Campaign Overview'!A221="",M381=0),"",P381/M381)</f>
        <v/>
      </c>
    </row>
    <row r="382" customFormat="false" ht="15" hidden="false" customHeight="false" outlineLevel="0" collapsed="false">
      <c r="K382" s="0" t="str">
        <f aca="false">IF('Campaign Overview'!A222="","",'Campaign Overview'!A222)</f>
        <v/>
      </c>
      <c r="L382" s="0" t="str">
        <f aca="false">IF('Campaign Overview'!A222="","",'Campaign Overview'!B222)</f>
        <v/>
      </c>
      <c r="M382" s="0" t="str">
        <f aca="false">IF('Campaign Overview'!A222="","",COUNTIFS('Raw SmartLead Replies'!A:A,'Campaign Overview'!A222))</f>
        <v/>
      </c>
      <c r="N382" s="0" t="str">
        <f aca="false">IF('Campaign Overview'!A222="","",COUNTIFS('Raw SmartLead Replies'!A:A,'Campaign Overview'!A222,'Raw SmartLead Replies'!G:G,"Interested"))</f>
        <v/>
      </c>
      <c r="O382" s="0" t="str">
        <f aca="false">IF('Campaign Overview'!A222="","",COUNTIFS('Raw GHL Data'!C:C,'Campaign Overview'!A222,'Raw GHL Data'!E:E,"&lt;&gt;"))</f>
        <v/>
      </c>
      <c r="P382" s="0" t="str">
        <f aca="false">IF('Campaign Overview'!A222="","",COUNTIFS('Raw GHL Data'!C:C,'Campaign Overview'!A222,'Raw GHL Data'!H:H,"&lt;&gt;"))</f>
        <v/>
      </c>
      <c r="Q382" s="21" t="str">
        <f aca="false">IF(OR('Campaign Overview'!A222="",M382=0),"",P382/M382)</f>
        <v/>
      </c>
    </row>
    <row r="383" customFormat="false" ht="15" hidden="false" customHeight="false" outlineLevel="0" collapsed="false">
      <c r="K383" s="0" t="str">
        <f aca="false">IF('Campaign Overview'!A223="","",'Campaign Overview'!A223)</f>
        <v/>
      </c>
      <c r="L383" s="0" t="str">
        <f aca="false">IF('Campaign Overview'!A223="","",'Campaign Overview'!B223)</f>
        <v/>
      </c>
      <c r="M383" s="0" t="str">
        <f aca="false">IF('Campaign Overview'!A223="","",COUNTIFS('Raw SmartLead Replies'!A:A,'Campaign Overview'!A223))</f>
        <v/>
      </c>
      <c r="N383" s="0" t="str">
        <f aca="false">IF('Campaign Overview'!A223="","",COUNTIFS('Raw SmartLead Replies'!A:A,'Campaign Overview'!A223,'Raw SmartLead Replies'!G:G,"Interested"))</f>
        <v/>
      </c>
      <c r="O383" s="0" t="str">
        <f aca="false">IF('Campaign Overview'!A223="","",COUNTIFS('Raw GHL Data'!C:C,'Campaign Overview'!A223,'Raw GHL Data'!E:E,"&lt;&gt;"))</f>
        <v/>
      </c>
      <c r="P383" s="0" t="str">
        <f aca="false">IF('Campaign Overview'!A223="","",COUNTIFS('Raw GHL Data'!C:C,'Campaign Overview'!A223,'Raw GHL Data'!H:H,"&lt;&gt;"))</f>
        <v/>
      </c>
      <c r="Q383" s="21" t="str">
        <f aca="false">IF(OR('Campaign Overview'!A223="",M383=0),"",P383/M383)</f>
        <v/>
      </c>
    </row>
    <row r="384" customFormat="false" ht="15" hidden="false" customHeight="false" outlineLevel="0" collapsed="false">
      <c r="K384" s="0" t="str">
        <f aca="false">IF('Campaign Overview'!A224="","",'Campaign Overview'!A224)</f>
        <v/>
      </c>
      <c r="L384" s="0" t="str">
        <f aca="false">IF('Campaign Overview'!A224="","",'Campaign Overview'!B224)</f>
        <v/>
      </c>
      <c r="M384" s="0" t="str">
        <f aca="false">IF('Campaign Overview'!A224="","",COUNTIFS('Raw SmartLead Replies'!A:A,'Campaign Overview'!A224))</f>
        <v/>
      </c>
      <c r="N384" s="0" t="str">
        <f aca="false">IF('Campaign Overview'!A224="","",COUNTIFS('Raw SmartLead Replies'!A:A,'Campaign Overview'!A224,'Raw SmartLead Replies'!G:G,"Interested"))</f>
        <v/>
      </c>
      <c r="O384" s="0" t="str">
        <f aca="false">IF('Campaign Overview'!A224="","",COUNTIFS('Raw GHL Data'!C:C,'Campaign Overview'!A224,'Raw GHL Data'!E:E,"&lt;&gt;"))</f>
        <v/>
      </c>
      <c r="P384" s="0" t="str">
        <f aca="false">IF('Campaign Overview'!A224="","",COUNTIFS('Raw GHL Data'!C:C,'Campaign Overview'!A224,'Raw GHL Data'!H:H,"&lt;&gt;"))</f>
        <v/>
      </c>
      <c r="Q384" s="21" t="str">
        <f aca="false">IF(OR('Campaign Overview'!A224="",M384=0),"",P384/M384)</f>
        <v/>
      </c>
    </row>
    <row r="385" customFormat="false" ht="15" hidden="false" customHeight="false" outlineLevel="0" collapsed="false">
      <c r="K385" s="0" t="str">
        <f aca="false">IF('Campaign Overview'!A225="","",'Campaign Overview'!A225)</f>
        <v/>
      </c>
      <c r="L385" s="0" t="str">
        <f aca="false">IF('Campaign Overview'!A225="","",'Campaign Overview'!B225)</f>
        <v/>
      </c>
      <c r="M385" s="0" t="str">
        <f aca="false">IF('Campaign Overview'!A225="","",COUNTIFS('Raw SmartLead Replies'!A:A,'Campaign Overview'!A225))</f>
        <v/>
      </c>
      <c r="N385" s="0" t="str">
        <f aca="false">IF('Campaign Overview'!A225="","",COUNTIFS('Raw SmartLead Replies'!A:A,'Campaign Overview'!A225,'Raw SmartLead Replies'!G:G,"Interested"))</f>
        <v/>
      </c>
      <c r="O385" s="0" t="str">
        <f aca="false">IF('Campaign Overview'!A225="","",COUNTIFS('Raw GHL Data'!C:C,'Campaign Overview'!A225,'Raw GHL Data'!E:E,"&lt;&gt;"))</f>
        <v/>
      </c>
      <c r="P385" s="0" t="str">
        <f aca="false">IF('Campaign Overview'!A225="","",COUNTIFS('Raw GHL Data'!C:C,'Campaign Overview'!A225,'Raw GHL Data'!H:H,"&lt;&gt;"))</f>
        <v/>
      </c>
      <c r="Q385" s="21" t="str">
        <f aca="false">IF(OR('Campaign Overview'!A225="",M385=0),"",P385/M385)</f>
        <v/>
      </c>
    </row>
    <row r="386" customFormat="false" ht="15" hidden="false" customHeight="false" outlineLevel="0" collapsed="false">
      <c r="K386" s="0" t="str">
        <f aca="false">IF('Campaign Overview'!A226="","",'Campaign Overview'!A226)</f>
        <v/>
      </c>
      <c r="L386" s="0" t="str">
        <f aca="false">IF('Campaign Overview'!A226="","",'Campaign Overview'!B226)</f>
        <v/>
      </c>
      <c r="M386" s="0" t="str">
        <f aca="false">IF('Campaign Overview'!A226="","",COUNTIFS('Raw SmartLead Replies'!A:A,'Campaign Overview'!A226))</f>
        <v/>
      </c>
      <c r="N386" s="0" t="str">
        <f aca="false">IF('Campaign Overview'!A226="","",COUNTIFS('Raw SmartLead Replies'!A:A,'Campaign Overview'!A226,'Raw SmartLead Replies'!G:G,"Interested"))</f>
        <v/>
      </c>
      <c r="O386" s="0" t="str">
        <f aca="false">IF('Campaign Overview'!A226="","",COUNTIFS('Raw GHL Data'!C:C,'Campaign Overview'!A226,'Raw GHL Data'!E:E,"&lt;&gt;"))</f>
        <v/>
      </c>
      <c r="P386" s="0" t="str">
        <f aca="false">IF('Campaign Overview'!A226="","",COUNTIFS('Raw GHL Data'!C:C,'Campaign Overview'!A226,'Raw GHL Data'!H:H,"&lt;&gt;"))</f>
        <v/>
      </c>
      <c r="Q386" s="21" t="str">
        <f aca="false">IF(OR('Campaign Overview'!A226="",M386=0),"",P386/M386)</f>
        <v/>
      </c>
    </row>
    <row r="387" customFormat="false" ht="15" hidden="false" customHeight="false" outlineLevel="0" collapsed="false">
      <c r="K387" s="0" t="str">
        <f aca="false">IF('Campaign Overview'!A227="","",'Campaign Overview'!A227)</f>
        <v/>
      </c>
      <c r="L387" s="0" t="str">
        <f aca="false">IF('Campaign Overview'!A227="","",'Campaign Overview'!B227)</f>
        <v/>
      </c>
      <c r="M387" s="0" t="str">
        <f aca="false">IF('Campaign Overview'!A227="","",COUNTIFS('Raw SmartLead Replies'!A:A,'Campaign Overview'!A227))</f>
        <v/>
      </c>
      <c r="N387" s="0" t="str">
        <f aca="false">IF('Campaign Overview'!A227="","",COUNTIFS('Raw SmartLead Replies'!A:A,'Campaign Overview'!A227,'Raw SmartLead Replies'!G:G,"Interested"))</f>
        <v/>
      </c>
      <c r="O387" s="0" t="str">
        <f aca="false">IF('Campaign Overview'!A227="","",COUNTIFS('Raw GHL Data'!C:C,'Campaign Overview'!A227,'Raw GHL Data'!E:E,"&lt;&gt;"))</f>
        <v/>
      </c>
      <c r="P387" s="0" t="str">
        <f aca="false">IF('Campaign Overview'!A227="","",COUNTIFS('Raw GHL Data'!C:C,'Campaign Overview'!A227,'Raw GHL Data'!H:H,"&lt;&gt;"))</f>
        <v/>
      </c>
      <c r="Q387" s="21" t="str">
        <f aca="false">IF(OR('Campaign Overview'!A227="",M387=0),"",P387/M387)</f>
        <v/>
      </c>
    </row>
    <row r="388" customFormat="false" ht="15" hidden="false" customHeight="false" outlineLevel="0" collapsed="false">
      <c r="K388" s="0" t="str">
        <f aca="false">IF('Campaign Overview'!A228="","",'Campaign Overview'!A228)</f>
        <v/>
      </c>
      <c r="L388" s="0" t="str">
        <f aca="false">IF('Campaign Overview'!A228="","",'Campaign Overview'!B228)</f>
        <v/>
      </c>
      <c r="M388" s="0" t="str">
        <f aca="false">IF('Campaign Overview'!A228="","",COUNTIFS('Raw SmartLead Replies'!A:A,'Campaign Overview'!A228))</f>
        <v/>
      </c>
      <c r="N388" s="0" t="str">
        <f aca="false">IF('Campaign Overview'!A228="","",COUNTIFS('Raw SmartLead Replies'!A:A,'Campaign Overview'!A228,'Raw SmartLead Replies'!G:G,"Interested"))</f>
        <v/>
      </c>
      <c r="O388" s="0" t="str">
        <f aca="false">IF('Campaign Overview'!A228="","",COUNTIFS('Raw GHL Data'!C:C,'Campaign Overview'!A228,'Raw GHL Data'!E:E,"&lt;&gt;"))</f>
        <v/>
      </c>
      <c r="P388" s="0" t="str">
        <f aca="false">IF('Campaign Overview'!A228="","",COUNTIFS('Raw GHL Data'!C:C,'Campaign Overview'!A228,'Raw GHL Data'!H:H,"&lt;&gt;"))</f>
        <v/>
      </c>
      <c r="Q388" s="21" t="str">
        <f aca="false">IF(OR('Campaign Overview'!A228="",M388=0),"",P388/M388)</f>
        <v/>
      </c>
    </row>
    <row r="389" customFormat="false" ht="15" hidden="false" customHeight="false" outlineLevel="0" collapsed="false">
      <c r="K389" s="0" t="str">
        <f aca="false">IF('Campaign Overview'!A229="","",'Campaign Overview'!A229)</f>
        <v/>
      </c>
      <c r="L389" s="0" t="str">
        <f aca="false">IF('Campaign Overview'!A229="","",'Campaign Overview'!B229)</f>
        <v/>
      </c>
      <c r="M389" s="0" t="str">
        <f aca="false">IF('Campaign Overview'!A229="","",COUNTIFS('Raw SmartLead Replies'!A:A,'Campaign Overview'!A229))</f>
        <v/>
      </c>
      <c r="N389" s="0" t="str">
        <f aca="false">IF('Campaign Overview'!A229="","",COUNTIFS('Raw SmartLead Replies'!A:A,'Campaign Overview'!A229,'Raw SmartLead Replies'!G:G,"Interested"))</f>
        <v/>
      </c>
      <c r="O389" s="0" t="str">
        <f aca="false">IF('Campaign Overview'!A229="","",COUNTIFS('Raw GHL Data'!C:C,'Campaign Overview'!A229,'Raw GHL Data'!E:E,"&lt;&gt;"))</f>
        <v/>
      </c>
      <c r="P389" s="0" t="str">
        <f aca="false">IF('Campaign Overview'!A229="","",COUNTIFS('Raw GHL Data'!C:C,'Campaign Overview'!A229,'Raw GHL Data'!H:H,"&lt;&gt;"))</f>
        <v/>
      </c>
      <c r="Q389" s="21" t="str">
        <f aca="false">IF(OR('Campaign Overview'!A229="",M389=0),"",P389/M389)</f>
        <v/>
      </c>
    </row>
    <row r="390" customFormat="false" ht="15" hidden="false" customHeight="false" outlineLevel="0" collapsed="false">
      <c r="K390" s="0" t="str">
        <f aca="false">IF('Campaign Overview'!A230="","",'Campaign Overview'!A230)</f>
        <v/>
      </c>
      <c r="L390" s="0" t="str">
        <f aca="false">IF('Campaign Overview'!A230="","",'Campaign Overview'!B230)</f>
        <v/>
      </c>
      <c r="M390" s="0" t="str">
        <f aca="false">IF('Campaign Overview'!A230="","",COUNTIFS('Raw SmartLead Replies'!A:A,'Campaign Overview'!A230))</f>
        <v/>
      </c>
      <c r="N390" s="0" t="str">
        <f aca="false">IF('Campaign Overview'!A230="","",COUNTIFS('Raw SmartLead Replies'!A:A,'Campaign Overview'!A230,'Raw SmartLead Replies'!G:G,"Interested"))</f>
        <v/>
      </c>
      <c r="O390" s="0" t="str">
        <f aca="false">IF('Campaign Overview'!A230="","",COUNTIFS('Raw GHL Data'!C:C,'Campaign Overview'!A230,'Raw GHL Data'!E:E,"&lt;&gt;"))</f>
        <v/>
      </c>
      <c r="P390" s="0" t="str">
        <f aca="false">IF('Campaign Overview'!A230="","",COUNTIFS('Raw GHL Data'!C:C,'Campaign Overview'!A230,'Raw GHL Data'!H:H,"&lt;&gt;"))</f>
        <v/>
      </c>
      <c r="Q390" s="21" t="str">
        <f aca="false">IF(OR('Campaign Overview'!A230="",M390=0),"",P390/M390)</f>
        <v/>
      </c>
    </row>
    <row r="391" customFormat="false" ht="15" hidden="false" customHeight="false" outlineLevel="0" collapsed="false">
      <c r="K391" s="0" t="str">
        <f aca="false">IF('Campaign Overview'!A231="","",'Campaign Overview'!A231)</f>
        <v/>
      </c>
      <c r="L391" s="0" t="str">
        <f aca="false">IF('Campaign Overview'!A231="","",'Campaign Overview'!B231)</f>
        <v/>
      </c>
      <c r="M391" s="0" t="str">
        <f aca="false">IF('Campaign Overview'!A231="","",COUNTIFS('Raw SmartLead Replies'!A:A,'Campaign Overview'!A231))</f>
        <v/>
      </c>
      <c r="N391" s="0" t="str">
        <f aca="false">IF('Campaign Overview'!A231="","",COUNTIFS('Raw SmartLead Replies'!A:A,'Campaign Overview'!A231,'Raw SmartLead Replies'!G:G,"Interested"))</f>
        <v/>
      </c>
      <c r="O391" s="0" t="str">
        <f aca="false">IF('Campaign Overview'!A231="","",COUNTIFS('Raw GHL Data'!C:C,'Campaign Overview'!A231,'Raw GHL Data'!E:E,"&lt;&gt;"))</f>
        <v/>
      </c>
      <c r="P391" s="0" t="str">
        <f aca="false">IF('Campaign Overview'!A231="","",COUNTIFS('Raw GHL Data'!C:C,'Campaign Overview'!A231,'Raw GHL Data'!H:H,"&lt;&gt;"))</f>
        <v/>
      </c>
      <c r="Q391" s="21" t="str">
        <f aca="false">IF(OR('Campaign Overview'!A231="",M391=0),"",P391/M391)</f>
        <v/>
      </c>
    </row>
    <row r="392" customFormat="false" ht="15" hidden="false" customHeight="false" outlineLevel="0" collapsed="false">
      <c r="K392" s="0" t="str">
        <f aca="false">IF('Campaign Overview'!A232="","",'Campaign Overview'!A232)</f>
        <v/>
      </c>
      <c r="L392" s="0" t="str">
        <f aca="false">IF('Campaign Overview'!A232="","",'Campaign Overview'!B232)</f>
        <v/>
      </c>
      <c r="M392" s="0" t="str">
        <f aca="false">IF('Campaign Overview'!A232="","",COUNTIFS('Raw SmartLead Replies'!A:A,'Campaign Overview'!A232))</f>
        <v/>
      </c>
      <c r="N392" s="0" t="str">
        <f aca="false">IF('Campaign Overview'!A232="","",COUNTIFS('Raw SmartLead Replies'!A:A,'Campaign Overview'!A232,'Raw SmartLead Replies'!G:G,"Interested"))</f>
        <v/>
      </c>
      <c r="O392" s="0" t="str">
        <f aca="false">IF('Campaign Overview'!A232="","",COUNTIFS('Raw GHL Data'!C:C,'Campaign Overview'!A232,'Raw GHL Data'!E:E,"&lt;&gt;"))</f>
        <v/>
      </c>
      <c r="P392" s="0" t="str">
        <f aca="false">IF('Campaign Overview'!A232="","",COUNTIFS('Raw GHL Data'!C:C,'Campaign Overview'!A232,'Raw GHL Data'!H:H,"&lt;&gt;"))</f>
        <v/>
      </c>
      <c r="Q392" s="21" t="str">
        <f aca="false">IF(OR('Campaign Overview'!A232="",M392=0),"",P392/M392)</f>
        <v/>
      </c>
    </row>
    <row r="393" customFormat="false" ht="15" hidden="false" customHeight="false" outlineLevel="0" collapsed="false">
      <c r="K393" s="0" t="str">
        <f aca="false">IF('Campaign Overview'!A233="","",'Campaign Overview'!A233)</f>
        <v/>
      </c>
      <c r="L393" s="0" t="str">
        <f aca="false">IF('Campaign Overview'!A233="","",'Campaign Overview'!B233)</f>
        <v/>
      </c>
      <c r="M393" s="0" t="str">
        <f aca="false">IF('Campaign Overview'!A233="","",COUNTIFS('Raw SmartLead Replies'!A:A,'Campaign Overview'!A233))</f>
        <v/>
      </c>
      <c r="N393" s="0" t="str">
        <f aca="false">IF('Campaign Overview'!A233="","",COUNTIFS('Raw SmartLead Replies'!A:A,'Campaign Overview'!A233,'Raw SmartLead Replies'!G:G,"Interested"))</f>
        <v/>
      </c>
      <c r="O393" s="0" t="str">
        <f aca="false">IF('Campaign Overview'!A233="","",COUNTIFS('Raw GHL Data'!C:C,'Campaign Overview'!A233,'Raw GHL Data'!E:E,"&lt;&gt;"))</f>
        <v/>
      </c>
      <c r="P393" s="0" t="str">
        <f aca="false">IF('Campaign Overview'!A233="","",COUNTIFS('Raw GHL Data'!C:C,'Campaign Overview'!A233,'Raw GHL Data'!H:H,"&lt;&gt;"))</f>
        <v/>
      </c>
      <c r="Q393" s="21" t="str">
        <f aca="false">IF(OR('Campaign Overview'!A233="",M393=0),"",P393/M393)</f>
        <v/>
      </c>
    </row>
    <row r="394" customFormat="false" ht="15" hidden="false" customHeight="false" outlineLevel="0" collapsed="false">
      <c r="K394" s="0" t="str">
        <f aca="false">IF('Campaign Overview'!A234="","",'Campaign Overview'!A234)</f>
        <v/>
      </c>
      <c r="L394" s="0" t="str">
        <f aca="false">IF('Campaign Overview'!A234="","",'Campaign Overview'!B234)</f>
        <v/>
      </c>
      <c r="M394" s="0" t="str">
        <f aca="false">IF('Campaign Overview'!A234="","",COUNTIFS('Raw SmartLead Replies'!A:A,'Campaign Overview'!A234))</f>
        <v/>
      </c>
      <c r="N394" s="0" t="str">
        <f aca="false">IF('Campaign Overview'!A234="","",COUNTIFS('Raw SmartLead Replies'!A:A,'Campaign Overview'!A234,'Raw SmartLead Replies'!G:G,"Interested"))</f>
        <v/>
      </c>
      <c r="O394" s="0" t="str">
        <f aca="false">IF('Campaign Overview'!A234="","",COUNTIFS('Raw GHL Data'!C:C,'Campaign Overview'!A234,'Raw GHL Data'!E:E,"&lt;&gt;"))</f>
        <v/>
      </c>
      <c r="P394" s="0" t="str">
        <f aca="false">IF('Campaign Overview'!A234="","",COUNTIFS('Raw GHL Data'!C:C,'Campaign Overview'!A234,'Raw GHL Data'!H:H,"&lt;&gt;"))</f>
        <v/>
      </c>
      <c r="Q394" s="21" t="str">
        <f aca="false">IF(OR('Campaign Overview'!A234="",M394=0),"",P394/M394)</f>
        <v/>
      </c>
    </row>
    <row r="395" customFormat="false" ht="15" hidden="false" customHeight="false" outlineLevel="0" collapsed="false">
      <c r="K395" s="0" t="str">
        <f aca="false">IF('Campaign Overview'!A235="","",'Campaign Overview'!A235)</f>
        <v/>
      </c>
      <c r="L395" s="0" t="str">
        <f aca="false">IF('Campaign Overview'!A235="","",'Campaign Overview'!B235)</f>
        <v/>
      </c>
      <c r="M395" s="0" t="str">
        <f aca="false">IF('Campaign Overview'!A235="","",COUNTIFS('Raw SmartLead Replies'!A:A,'Campaign Overview'!A235))</f>
        <v/>
      </c>
      <c r="N395" s="0" t="str">
        <f aca="false">IF('Campaign Overview'!A235="","",COUNTIFS('Raw SmartLead Replies'!A:A,'Campaign Overview'!A235,'Raw SmartLead Replies'!G:G,"Interested"))</f>
        <v/>
      </c>
      <c r="O395" s="0" t="str">
        <f aca="false">IF('Campaign Overview'!A235="","",COUNTIFS('Raw GHL Data'!C:C,'Campaign Overview'!A235,'Raw GHL Data'!E:E,"&lt;&gt;"))</f>
        <v/>
      </c>
      <c r="P395" s="0" t="str">
        <f aca="false">IF('Campaign Overview'!A235="","",COUNTIFS('Raw GHL Data'!C:C,'Campaign Overview'!A235,'Raw GHL Data'!H:H,"&lt;&gt;"))</f>
        <v/>
      </c>
      <c r="Q395" s="21" t="str">
        <f aca="false">IF(OR('Campaign Overview'!A235="",M395=0),"",P395/M395)</f>
        <v/>
      </c>
    </row>
    <row r="396" customFormat="false" ht="15" hidden="false" customHeight="false" outlineLevel="0" collapsed="false">
      <c r="K396" s="0" t="str">
        <f aca="false">IF('Campaign Overview'!A236="","",'Campaign Overview'!A236)</f>
        <v/>
      </c>
      <c r="L396" s="0" t="str">
        <f aca="false">IF('Campaign Overview'!A236="","",'Campaign Overview'!B236)</f>
        <v/>
      </c>
      <c r="M396" s="0" t="str">
        <f aca="false">IF('Campaign Overview'!A236="","",COUNTIFS('Raw SmartLead Replies'!A:A,'Campaign Overview'!A236))</f>
        <v/>
      </c>
      <c r="N396" s="0" t="str">
        <f aca="false">IF('Campaign Overview'!A236="","",COUNTIFS('Raw SmartLead Replies'!A:A,'Campaign Overview'!A236,'Raw SmartLead Replies'!G:G,"Interested"))</f>
        <v/>
      </c>
      <c r="O396" s="0" t="str">
        <f aca="false">IF('Campaign Overview'!A236="","",COUNTIFS('Raw GHL Data'!C:C,'Campaign Overview'!A236,'Raw GHL Data'!E:E,"&lt;&gt;"))</f>
        <v/>
      </c>
      <c r="P396" s="0" t="str">
        <f aca="false">IF('Campaign Overview'!A236="","",COUNTIFS('Raw GHL Data'!C:C,'Campaign Overview'!A236,'Raw GHL Data'!H:H,"&lt;&gt;"))</f>
        <v/>
      </c>
      <c r="Q396" s="21" t="str">
        <f aca="false">IF(OR('Campaign Overview'!A236="",M396=0),"",P396/M396)</f>
        <v/>
      </c>
    </row>
    <row r="397" customFormat="false" ht="15" hidden="false" customHeight="false" outlineLevel="0" collapsed="false">
      <c r="K397" s="0" t="str">
        <f aca="false">IF('Campaign Overview'!A237="","",'Campaign Overview'!A237)</f>
        <v/>
      </c>
      <c r="L397" s="0" t="str">
        <f aca="false">IF('Campaign Overview'!A237="","",'Campaign Overview'!B237)</f>
        <v/>
      </c>
      <c r="M397" s="0" t="str">
        <f aca="false">IF('Campaign Overview'!A237="","",COUNTIFS('Raw SmartLead Replies'!A:A,'Campaign Overview'!A237))</f>
        <v/>
      </c>
      <c r="N397" s="0" t="str">
        <f aca="false">IF('Campaign Overview'!A237="","",COUNTIFS('Raw SmartLead Replies'!A:A,'Campaign Overview'!A237,'Raw SmartLead Replies'!G:G,"Interested"))</f>
        <v/>
      </c>
      <c r="O397" s="0" t="str">
        <f aca="false">IF('Campaign Overview'!A237="","",COUNTIFS('Raw GHL Data'!C:C,'Campaign Overview'!A237,'Raw GHL Data'!E:E,"&lt;&gt;"))</f>
        <v/>
      </c>
      <c r="P397" s="0" t="str">
        <f aca="false">IF('Campaign Overview'!A237="","",COUNTIFS('Raw GHL Data'!C:C,'Campaign Overview'!A237,'Raw GHL Data'!H:H,"&lt;&gt;"))</f>
        <v/>
      </c>
      <c r="Q397" s="21" t="str">
        <f aca="false">IF(OR('Campaign Overview'!A237="",M397=0),"",P397/M397)</f>
        <v/>
      </c>
    </row>
    <row r="398" customFormat="false" ht="15" hidden="false" customHeight="false" outlineLevel="0" collapsed="false">
      <c r="K398" s="0" t="str">
        <f aca="false">IF('Campaign Overview'!A238="","",'Campaign Overview'!A238)</f>
        <v/>
      </c>
      <c r="L398" s="0" t="str">
        <f aca="false">IF('Campaign Overview'!A238="","",'Campaign Overview'!B238)</f>
        <v/>
      </c>
      <c r="M398" s="0" t="str">
        <f aca="false">IF('Campaign Overview'!A238="","",COUNTIFS('Raw SmartLead Replies'!A:A,'Campaign Overview'!A238))</f>
        <v/>
      </c>
      <c r="N398" s="0" t="str">
        <f aca="false">IF('Campaign Overview'!A238="","",COUNTIFS('Raw SmartLead Replies'!A:A,'Campaign Overview'!A238,'Raw SmartLead Replies'!G:G,"Interested"))</f>
        <v/>
      </c>
      <c r="O398" s="0" t="str">
        <f aca="false">IF('Campaign Overview'!A238="","",COUNTIFS('Raw GHL Data'!C:C,'Campaign Overview'!A238,'Raw GHL Data'!E:E,"&lt;&gt;"))</f>
        <v/>
      </c>
      <c r="P398" s="0" t="str">
        <f aca="false">IF('Campaign Overview'!A238="","",COUNTIFS('Raw GHL Data'!C:C,'Campaign Overview'!A238,'Raw GHL Data'!H:H,"&lt;&gt;"))</f>
        <v/>
      </c>
      <c r="Q398" s="21" t="str">
        <f aca="false">IF(OR('Campaign Overview'!A238="",M398=0),"",P398/M398)</f>
        <v/>
      </c>
    </row>
    <row r="399" customFormat="false" ht="15" hidden="false" customHeight="false" outlineLevel="0" collapsed="false">
      <c r="K399" s="0" t="str">
        <f aca="false">IF('Campaign Overview'!A239="","",'Campaign Overview'!A239)</f>
        <v/>
      </c>
      <c r="L399" s="0" t="str">
        <f aca="false">IF('Campaign Overview'!A239="","",'Campaign Overview'!B239)</f>
        <v/>
      </c>
      <c r="M399" s="0" t="str">
        <f aca="false">IF('Campaign Overview'!A239="","",COUNTIFS('Raw SmartLead Replies'!A:A,'Campaign Overview'!A239))</f>
        <v/>
      </c>
      <c r="N399" s="0" t="str">
        <f aca="false">IF('Campaign Overview'!A239="","",COUNTIFS('Raw SmartLead Replies'!A:A,'Campaign Overview'!A239,'Raw SmartLead Replies'!G:G,"Interested"))</f>
        <v/>
      </c>
      <c r="O399" s="0" t="str">
        <f aca="false">IF('Campaign Overview'!A239="","",COUNTIFS('Raw GHL Data'!C:C,'Campaign Overview'!A239,'Raw GHL Data'!E:E,"&lt;&gt;"))</f>
        <v/>
      </c>
      <c r="P399" s="0" t="str">
        <f aca="false">IF('Campaign Overview'!A239="","",COUNTIFS('Raw GHL Data'!C:C,'Campaign Overview'!A239,'Raw GHL Data'!H:H,"&lt;&gt;"))</f>
        <v/>
      </c>
      <c r="Q399" s="21" t="str">
        <f aca="false">IF(OR('Campaign Overview'!A239="",M399=0),"",P399/M399)</f>
        <v/>
      </c>
    </row>
    <row r="400" customFormat="false" ht="15" hidden="false" customHeight="false" outlineLevel="0" collapsed="false">
      <c r="K400" s="0" t="str">
        <f aca="false">IF('Campaign Overview'!A240="","",'Campaign Overview'!A240)</f>
        <v/>
      </c>
      <c r="L400" s="0" t="str">
        <f aca="false">IF('Campaign Overview'!A240="","",'Campaign Overview'!B240)</f>
        <v/>
      </c>
      <c r="M400" s="0" t="str">
        <f aca="false">IF('Campaign Overview'!A240="","",COUNTIFS('Raw SmartLead Replies'!A:A,'Campaign Overview'!A240))</f>
        <v/>
      </c>
      <c r="N400" s="0" t="str">
        <f aca="false">IF('Campaign Overview'!A240="","",COUNTIFS('Raw SmartLead Replies'!A:A,'Campaign Overview'!A240,'Raw SmartLead Replies'!G:G,"Interested"))</f>
        <v/>
      </c>
      <c r="O400" s="0" t="str">
        <f aca="false">IF('Campaign Overview'!A240="","",COUNTIFS('Raw GHL Data'!C:C,'Campaign Overview'!A240,'Raw GHL Data'!E:E,"&lt;&gt;"))</f>
        <v/>
      </c>
      <c r="P400" s="0" t="str">
        <f aca="false">IF('Campaign Overview'!A240="","",COUNTIFS('Raw GHL Data'!C:C,'Campaign Overview'!A240,'Raw GHL Data'!H:H,"&lt;&gt;"))</f>
        <v/>
      </c>
      <c r="Q400" s="21" t="str">
        <f aca="false">IF(OR('Campaign Overview'!A240="",M400=0),"",P400/M400)</f>
        <v/>
      </c>
    </row>
    <row r="401" customFormat="false" ht="15" hidden="false" customHeight="false" outlineLevel="0" collapsed="false">
      <c r="K401" s="0" t="str">
        <f aca="false">IF('Campaign Overview'!A241="","",'Campaign Overview'!A241)</f>
        <v/>
      </c>
      <c r="L401" s="0" t="str">
        <f aca="false">IF('Campaign Overview'!A241="","",'Campaign Overview'!B241)</f>
        <v/>
      </c>
      <c r="M401" s="0" t="str">
        <f aca="false">IF('Campaign Overview'!A241="","",COUNTIFS('Raw SmartLead Replies'!A:A,'Campaign Overview'!A241))</f>
        <v/>
      </c>
      <c r="N401" s="0" t="str">
        <f aca="false">IF('Campaign Overview'!A241="","",COUNTIFS('Raw SmartLead Replies'!A:A,'Campaign Overview'!A241,'Raw SmartLead Replies'!G:G,"Interested"))</f>
        <v/>
      </c>
      <c r="O401" s="0" t="str">
        <f aca="false">IF('Campaign Overview'!A241="","",COUNTIFS('Raw GHL Data'!C:C,'Campaign Overview'!A241,'Raw GHL Data'!E:E,"&lt;&gt;"))</f>
        <v/>
      </c>
      <c r="P401" s="0" t="str">
        <f aca="false">IF('Campaign Overview'!A241="","",COUNTIFS('Raw GHL Data'!C:C,'Campaign Overview'!A241,'Raw GHL Data'!H:H,"&lt;&gt;"))</f>
        <v/>
      </c>
      <c r="Q401" s="21" t="str">
        <f aca="false">IF(OR('Campaign Overview'!A241="",M401=0),"",P401/M401)</f>
        <v/>
      </c>
    </row>
    <row r="402" customFormat="false" ht="15" hidden="false" customHeight="false" outlineLevel="0" collapsed="false">
      <c r="K402" s="0" t="str">
        <f aca="false">IF('Campaign Overview'!A242="","",'Campaign Overview'!A242)</f>
        <v/>
      </c>
      <c r="L402" s="0" t="str">
        <f aca="false">IF('Campaign Overview'!A242="","",'Campaign Overview'!B242)</f>
        <v/>
      </c>
      <c r="M402" s="0" t="str">
        <f aca="false">IF('Campaign Overview'!A242="","",COUNTIFS('Raw SmartLead Replies'!A:A,'Campaign Overview'!A242))</f>
        <v/>
      </c>
      <c r="N402" s="0" t="str">
        <f aca="false">IF('Campaign Overview'!A242="","",COUNTIFS('Raw SmartLead Replies'!A:A,'Campaign Overview'!A242,'Raw SmartLead Replies'!G:G,"Interested"))</f>
        <v/>
      </c>
      <c r="O402" s="0" t="str">
        <f aca="false">IF('Campaign Overview'!A242="","",COUNTIFS('Raw GHL Data'!C:C,'Campaign Overview'!A242,'Raw GHL Data'!E:E,"&lt;&gt;"))</f>
        <v/>
      </c>
      <c r="P402" s="0" t="str">
        <f aca="false">IF('Campaign Overview'!A242="","",COUNTIFS('Raw GHL Data'!C:C,'Campaign Overview'!A242,'Raw GHL Data'!H:H,"&lt;&gt;"))</f>
        <v/>
      </c>
      <c r="Q402" s="21" t="str">
        <f aca="false">IF(OR('Campaign Overview'!A242="",M402=0),"",P402/M402)</f>
        <v/>
      </c>
    </row>
    <row r="403" customFormat="false" ht="15" hidden="false" customHeight="false" outlineLevel="0" collapsed="false">
      <c r="K403" s="0" t="str">
        <f aca="false">IF('Campaign Overview'!A243="","",'Campaign Overview'!A243)</f>
        <v/>
      </c>
      <c r="L403" s="0" t="str">
        <f aca="false">IF('Campaign Overview'!A243="","",'Campaign Overview'!B243)</f>
        <v/>
      </c>
      <c r="M403" s="0" t="str">
        <f aca="false">IF('Campaign Overview'!A243="","",COUNTIFS('Raw SmartLead Replies'!A:A,'Campaign Overview'!A243))</f>
        <v/>
      </c>
      <c r="N403" s="0" t="str">
        <f aca="false">IF('Campaign Overview'!A243="","",COUNTIFS('Raw SmartLead Replies'!A:A,'Campaign Overview'!A243,'Raw SmartLead Replies'!G:G,"Interested"))</f>
        <v/>
      </c>
      <c r="O403" s="0" t="str">
        <f aca="false">IF('Campaign Overview'!A243="","",COUNTIFS('Raw GHL Data'!C:C,'Campaign Overview'!A243,'Raw GHL Data'!E:E,"&lt;&gt;"))</f>
        <v/>
      </c>
      <c r="P403" s="0" t="str">
        <f aca="false">IF('Campaign Overview'!A243="","",COUNTIFS('Raw GHL Data'!C:C,'Campaign Overview'!A243,'Raw GHL Data'!H:H,"&lt;&gt;"))</f>
        <v/>
      </c>
      <c r="Q403" s="21" t="str">
        <f aca="false">IF(OR('Campaign Overview'!A243="",M403=0),"",P403/M403)</f>
        <v/>
      </c>
    </row>
    <row r="404" customFormat="false" ht="15" hidden="false" customHeight="false" outlineLevel="0" collapsed="false">
      <c r="K404" s="0" t="str">
        <f aca="false">IF('Campaign Overview'!A244="","",'Campaign Overview'!A244)</f>
        <v/>
      </c>
      <c r="L404" s="0" t="str">
        <f aca="false">IF('Campaign Overview'!A244="","",'Campaign Overview'!B244)</f>
        <v/>
      </c>
      <c r="M404" s="0" t="str">
        <f aca="false">IF('Campaign Overview'!A244="","",COUNTIFS('Raw SmartLead Replies'!A:A,'Campaign Overview'!A244))</f>
        <v/>
      </c>
      <c r="N404" s="0" t="str">
        <f aca="false">IF('Campaign Overview'!A244="","",COUNTIFS('Raw SmartLead Replies'!A:A,'Campaign Overview'!A244,'Raw SmartLead Replies'!G:G,"Interested"))</f>
        <v/>
      </c>
      <c r="O404" s="0" t="str">
        <f aca="false">IF('Campaign Overview'!A244="","",COUNTIFS('Raw GHL Data'!C:C,'Campaign Overview'!A244,'Raw GHL Data'!E:E,"&lt;&gt;"))</f>
        <v/>
      </c>
      <c r="P404" s="0" t="str">
        <f aca="false">IF('Campaign Overview'!A244="","",COUNTIFS('Raw GHL Data'!C:C,'Campaign Overview'!A244,'Raw GHL Data'!H:H,"&lt;&gt;"))</f>
        <v/>
      </c>
      <c r="Q404" s="21" t="str">
        <f aca="false">IF(OR('Campaign Overview'!A244="",M404=0),"",P404/M404)</f>
        <v/>
      </c>
    </row>
    <row r="405" customFormat="false" ht="15" hidden="false" customHeight="false" outlineLevel="0" collapsed="false">
      <c r="K405" s="0" t="str">
        <f aca="false">IF('Campaign Overview'!A245="","",'Campaign Overview'!A245)</f>
        <v/>
      </c>
      <c r="L405" s="0" t="str">
        <f aca="false">IF('Campaign Overview'!A245="","",'Campaign Overview'!B245)</f>
        <v/>
      </c>
      <c r="M405" s="0" t="str">
        <f aca="false">IF('Campaign Overview'!A245="","",COUNTIFS('Raw SmartLead Replies'!A:A,'Campaign Overview'!A245))</f>
        <v/>
      </c>
      <c r="N405" s="0" t="str">
        <f aca="false">IF('Campaign Overview'!A245="","",COUNTIFS('Raw SmartLead Replies'!A:A,'Campaign Overview'!A245,'Raw SmartLead Replies'!G:G,"Interested"))</f>
        <v/>
      </c>
      <c r="O405" s="0" t="str">
        <f aca="false">IF('Campaign Overview'!A245="","",COUNTIFS('Raw GHL Data'!C:C,'Campaign Overview'!A245,'Raw GHL Data'!E:E,"&lt;&gt;"))</f>
        <v/>
      </c>
      <c r="P405" s="0" t="str">
        <f aca="false">IF('Campaign Overview'!A245="","",COUNTIFS('Raw GHL Data'!C:C,'Campaign Overview'!A245,'Raw GHL Data'!H:H,"&lt;&gt;"))</f>
        <v/>
      </c>
      <c r="Q405" s="21" t="str">
        <f aca="false">IF(OR('Campaign Overview'!A245="",M405=0),"",P405/M405)</f>
        <v/>
      </c>
    </row>
    <row r="406" customFormat="false" ht="15" hidden="false" customHeight="false" outlineLevel="0" collapsed="false">
      <c r="K406" s="0" t="str">
        <f aca="false">IF('Campaign Overview'!A246="","",'Campaign Overview'!A246)</f>
        <v/>
      </c>
      <c r="L406" s="0" t="str">
        <f aca="false">IF('Campaign Overview'!A246="","",'Campaign Overview'!B246)</f>
        <v/>
      </c>
      <c r="M406" s="0" t="str">
        <f aca="false">IF('Campaign Overview'!A246="","",COUNTIFS('Raw SmartLead Replies'!A:A,'Campaign Overview'!A246))</f>
        <v/>
      </c>
      <c r="N406" s="0" t="str">
        <f aca="false">IF('Campaign Overview'!A246="","",COUNTIFS('Raw SmartLead Replies'!A:A,'Campaign Overview'!A246,'Raw SmartLead Replies'!G:G,"Interested"))</f>
        <v/>
      </c>
      <c r="O406" s="0" t="str">
        <f aca="false">IF('Campaign Overview'!A246="","",COUNTIFS('Raw GHL Data'!C:C,'Campaign Overview'!A246,'Raw GHL Data'!E:E,"&lt;&gt;"))</f>
        <v/>
      </c>
      <c r="P406" s="0" t="str">
        <f aca="false">IF('Campaign Overview'!A246="","",COUNTIFS('Raw GHL Data'!C:C,'Campaign Overview'!A246,'Raw GHL Data'!H:H,"&lt;&gt;"))</f>
        <v/>
      </c>
      <c r="Q406" s="21" t="str">
        <f aca="false">IF(OR('Campaign Overview'!A246="",M406=0),"",P406/M406)</f>
        <v/>
      </c>
    </row>
    <row r="407" customFormat="false" ht="15" hidden="false" customHeight="false" outlineLevel="0" collapsed="false">
      <c r="K407" s="0" t="str">
        <f aca="false">IF('Campaign Overview'!A247="","",'Campaign Overview'!A247)</f>
        <v/>
      </c>
      <c r="L407" s="0" t="str">
        <f aca="false">IF('Campaign Overview'!A247="","",'Campaign Overview'!B247)</f>
        <v/>
      </c>
      <c r="M407" s="0" t="str">
        <f aca="false">IF('Campaign Overview'!A247="","",COUNTIFS('Raw SmartLead Replies'!A:A,'Campaign Overview'!A247))</f>
        <v/>
      </c>
      <c r="N407" s="0" t="str">
        <f aca="false">IF('Campaign Overview'!A247="","",COUNTIFS('Raw SmartLead Replies'!A:A,'Campaign Overview'!A247,'Raw SmartLead Replies'!G:G,"Interested"))</f>
        <v/>
      </c>
      <c r="O407" s="0" t="str">
        <f aca="false">IF('Campaign Overview'!A247="","",COUNTIFS('Raw GHL Data'!C:C,'Campaign Overview'!A247,'Raw GHL Data'!E:E,"&lt;&gt;"))</f>
        <v/>
      </c>
      <c r="P407" s="0" t="str">
        <f aca="false">IF('Campaign Overview'!A247="","",COUNTIFS('Raw GHL Data'!C:C,'Campaign Overview'!A247,'Raw GHL Data'!H:H,"&lt;&gt;"))</f>
        <v/>
      </c>
      <c r="Q407" s="21" t="str">
        <f aca="false">IF(OR('Campaign Overview'!A247="",M407=0),"",P407/M407)</f>
        <v/>
      </c>
    </row>
    <row r="408" customFormat="false" ht="15" hidden="false" customHeight="false" outlineLevel="0" collapsed="false">
      <c r="K408" s="0" t="str">
        <f aca="false">IF('Campaign Overview'!A248="","",'Campaign Overview'!A248)</f>
        <v/>
      </c>
      <c r="L408" s="0" t="str">
        <f aca="false">IF('Campaign Overview'!A248="","",'Campaign Overview'!B248)</f>
        <v/>
      </c>
      <c r="M408" s="0" t="str">
        <f aca="false">IF('Campaign Overview'!A248="","",COUNTIFS('Raw SmartLead Replies'!A:A,'Campaign Overview'!A248))</f>
        <v/>
      </c>
      <c r="N408" s="0" t="str">
        <f aca="false">IF('Campaign Overview'!A248="","",COUNTIFS('Raw SmartLead Replies'!A:A,'Campaign Overview'!A248,'Raw SmartLead Replies'!G:G,"Interested"))</f>
        <v/>
      </c>
      <c r="O408" s="0" t="str">
        <f aca="false">IF('Campaign Overview'!A248="","",COUNTIFS('Raw GHL Data'!C:C,'Campaign Overview'!A248,'Raw GHL Data'!E:E,"&lt;&gt;"))</f>
        <v/>
      </c>
      <c r="P408" s="0" t="str">
        <f aca="false">IF('Campaign Overview'!A248="","",COUNTIFS('Raw GHL Data'!C:C,'Campaign Overview'!A248,'Raw GHL Data'!H:H,"&lt;&gt;"))</f>
        <v/>
      </c>
      <c r="Q408" s="21" t="str">
        <f aca="false">IF(OR('Campaign Overview'!A248="",M408=0),"",P408/M408)</f>
        <v/>
      </c>
    </row>
    <row r="409" customFormat="false" ht="15" hidden="false" customHeight="false" outlineLevel="0" collapsed="false">
      <c r="K409" s="0" t="str">
        <f aca="false">IF('Campaign Overview'!A249="","",'Campaign Overview'!A249)</f>
        <v/>
      </c>
      <c r="L409" s="0" t="str">
        <f aca="false">IF('Campaign Overview'!A249="","",'Campaign Overview'!B249)</f>
        <v/>
      </c>
      <c r="M409" s="0" t="str">
        <f aca="false">IF('Campaign Overview'!A249="","",COUNTIFS('Raw SmartLead Replies'!A:A,'Campaign Overview'!A249))</f>
        <v/>
      </c>
      <c r="N409" s="0" t="str">
        <f aca="false">IF('Campaign Overview'!A249="","",COUNTIFS('Raw SmartLead Replies'!A:A,'Campaign Overview'!A249,'Raw SmartLead Replies'!G:G,"Interested"))</f>
        <v/>
      </c>
      <c r="O409" s="0" t="str">
        <f aca="false">IF('Campaign Overview'!A249="","",COUNTIFS('Raw GHL Data'!C:C,'Campaign Overview'!A249,'Raw GHL Data'!E:E,"&lt;&gt;"))</f>
        <v/>
      </c>
      <c r="P409" s="0" t="str">
        <f aca="false">IF('Campaign Overview'!A249="","",COUNTIFS('Raw GHL Data'!C:C,'Campaign Overview'!A249,'Raw GHL Data'!H:H,"&lt;&gt;"))</f>
        <v/>
      </c>
      <c r="Q409" s="21" t="str">
        <f aca="false">IF(OR('Campaign Overview'!A249="",M409=0),"",P409/M409)</f>
        <v/>
      </c>
    </row>
    <row r="410" customFormat="false" ht="15" hidden="false" customHeight="false" outlineLevel="0" collapsed="false">
      <c r="K410" s="0" t="str">
        <f aca="false">IF('Campaign Overview'!A250="","",'Campaign Overview'!A250)</f>
        <v/>
      </c>
      <c r="L410" s="0" t="str">
        <f aca="false">IF('Campaign Overview'!A250="","",'Campaign Overview'!B250)</f>
        <v/>
      </c>
      <c r="M410" s="0" t="str">
        <f aca="false">IF('Campaign Overview'!A250="","",COUNTIFS('Raw SmartLead Replies'!A:A,'Campaign Overview'!A250))</f>
        <v/>
      </c>
      <c r="N410" s="0" t="str">
        <f aca="false">IF('Campaign Overview'!A250="","",COUNTIFS('Raw SmartLead Replies'!A:A,'Campaign Overview'!A250,'Raw SmartLead Replies'!G:G,"Interested"))</f>
        <v/>
      </c>
      <c r="O410" s="0" t="str">
        <f aca="false">IF('Campaign Overview'!A250="","",COUNTIFS('Raw GHL Data'!C:C,'Campaign Overview'!A250,'Raw GHL Data'!E:E,"&lt;&gt;"))</f>
        <v/>
      </c>
      <c r="P410" s="0" t="str">
        <f aca="false">IF('Campaign Overview'!A250="","",COUNTIFS('Raw GHL Data'!C:C,'Campaign Overview'!A250,'Raw GHL Data'!H:H,"&lt;&gt;"))</f>
        <v/>
      </c>
      <c r="Q410" s="21" t="str">
        <f aca="false">IF(OR('Campaign Overview'!A250="",M410=0),"",P410/M410)</f>
        <v/>
      </c>
    </row>
    <row r="411" customFormat="false" ht="15" hidden="false" customHeight="false" outlineLevel="0" collapsed="false">
      <c r="K411" s="0" t="str">
        <f aca="false">IF('Campaign Overview'!A251="","",'Campaign Overview'!A251)</f>
        <v/>
      </c>
      <c r="L411" s="0" t="str">
        <f aca="false">IF('Campaign Overview'!A251="","",'Campaign Overview'!B251)</f>
        <v/>
      </c>
      <c r="M411" s="0" t="str">
        <f aca="false">IF('Campaign Overview'!A251="","",COUNTIFS('Raw SmartLead Replies'!A:A,'Campaign Overview'!A251))</f>
        <v/>
      </c>
      <c r="N411" s="0" t="str">
        <f aca="false">IF('Campaign Overview'!A251="","",COUNTIFS('Raw SmartLead Replies'!A:A,'Campaign Overview'!A251,'Raw SmartLead Replies'!G:G,"Interested"))</f>
        <v/>
      </c>
      <c r="O411" s="0" t="str">
        <f aca="false">IF('Campaign Overview'!A251="","",COUNTIFS('Raw GHL Data'!C:C,'Campaign Overview'!A251,'Raw GHL Data'!E:E,"&lt;&gt;"))</f>
        <v/>
      </c>
      <c r="P411" s="0" t="str">
        <f aca="false">IF('Campaign Overview'!A251="","",COUNTIFS('Raw GHL Data'!C:C,'Campaign Overview'!A251,'Raw GHL Data'!H:H,"&lt;&gt;"))</f>
        <v/>
      </c>
      <c r="Q411" s="21" t="str">
        <f aca="false">IF(OR('Campaign Overview'!A251="",M411=0),"",P411/M411)</f>
        <v/>
      </c>
    </row>
    <row r="412" customFormat="false" ht="15" hidden="false" customHeight="false" outlineLevel="0" collapsed="false">
      <c r="K412" s="0" t="str">
        <f aca="false">IF('Campaign Overview'!A252="","",'Campaign Overview'!A252)</f>
        <v/>
      </c>
      <c r="L412" s="0" t="str">
        <f aca="false">IF('Campaign Overview'!A252="","",'Campaign Overview'!B252)</f>
        <v/>
      </c>
      <c r="M412" s="0" t="str">
        <f aca="false">IF('Campaign Overview'!A252="","",COUNTIFS('Raw SmartLead Replies'!A:A,'Campaign Overview'!A252))</f>
        <v/>
      </c>
      <c r="N412" s="0" t="str">
        <f aca="false">IF('Campaign Overview'!A252="","",COUNTIFS('Raw SmartLead Replies'!A:A,'Campaign Overview'!A252,'Raw SmartLead Replies'!G:G,"Interested"))</f>
        <v/>
      </c>
      <c r="O412" s="0" t="str">
        <f aca="false">IF('Campaign Overview'!A252="","",COUNTIFS('Raw GHL Data'!C:C,'Campaign Overview'!A252,'Raw GHL Data'!E:E,"&lt;&gt;"))</f>
        <v/>
      </c>
      <c r="P412" s="0" t="str">
        <f aca="false">IF('Campaign Overview'!A252="","",COUNTIFS('Raw GHL Data'!C:C,'Campaign Overview'!A252,'Raw GHL Data'!H:H,"&lt;&gt;"))</f>
        <v/>
      </c>
      <c r="Q412" s="21" t="str">
        <f aca="false">IF(OR('Campaign Overview'!A252="",M412=0),"",P412/M412)</f>
        <v/>
      </c>
    </row>
  </sheetData>
  <mergeCells count="7">
    <mergeCell ref="A1:H1"/>
    <mergeCell ref="A2:H2"/>
    <mergeCell ref="K2:Q2"/>
    <mergeCell ref="A4:H4"/>
    <mergeCell ref="A56:H56"/>
    <mergeCell ref="A108:H108"/>
    <mergeCell ref="A160:H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2026-04-12T17:35:25Z</dcterms:created>
  <dc:creator>openpyxl</dc:creator>
  <dc:description/>
  <dc:language>en-US</dc:language>
  <cp:lastModifiedBy/>
  <dcterms:modified xsi:type="dcterms:W3CDTF">2026-04-12T17:35:26Z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